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5"/>
    <sheet state="visible" name="Projeções e Premissas" sheetId="2" r:id="rId6"/>
    <sheet state="visible" name="Vendas e Engenharia" sheetId="3" r:id="rId7"/>
    <sheet state="visible" name="Hardware" sheetId="4" r:id="rId8"/>
    <sheet state="visible" name="Software" sheetId="5" r:id="rId9"/>
  </sheets>
  <definedNames/>
  <calcPr/>
</workbook>
</file>

<file path=xl/sharedStrings.xml><?xml version="1.0" encoding="utf-8"?>
<sst xmlns="http://schemas.openxmlformats.org/spreadsheetml/2006/main" count="363" uniqueCount="113">
  <si>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</si>
  <si>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</si>
  <si>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</si>
  <si>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</si>
  <si>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</si>
  <si>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</si>
  <si>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</si>
  <si>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</si>
  <si>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</si>
  <si>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</si>
  <si>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</si>
  <si>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</si>
  <si>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Custo bruto folha</t>
  </si>
  <si>
    <t>atual</t>
  </si>
  <si>
    <t>Fev</t>
  </si>
  <si>
    <t>Julho</t>
  </si>
  <si>
    <t>Dez</t>
  </si>
  <si>
    <t>Jonildo</t>
  </si>
  <si>
    <t>Gabriel</t>
  </si>
  <si>
    <t xml:space="preserve">Igor </t>
  </si>
  <si>
    <t>Fernando</t>
  </si>
  <si>
    <t>Belo</t>
  </si>
  <si>
    <t>Decézaris</t>
  </si>
  <si>
    <t>Adryan</t>
  </si>
  <si>
    <t>Macgyver</t>
  </si>
  <si>
    <t>Diogo</t>
  </si>
  <si>
    <t>Audrey</t>
  </si>
  <si>
    <t>Est. Igor</t>
  </si>
  <si>
    <t>Est. P. Araújo</t>
  </si>
  <si>
    <t>Est. Tawanny</t>
  </si>
  <si>
    <t>Leon</t>
  </si>
  <si>
    <t>RH</t>
  </si>
  <si>
    <t>Novo Vendedor</t>
  </si>
  <si>
    <t>Est. Cleber</t>
  </si>
  <si>
    <t>João</t>
  </si>
  <si>
    <t>Kalebe</t>
  </si>
  <si>
    <t>Everaldo</t>
  </si>
  <si>
    <t>Filipe</t>
  </si>
  <si>
    <t>Total</t>
  </si>
  <si>
    <t>Time de Vendas</t>
  </si>
  <si>
    <t>Time de Hardware</t>
  </si>
  <si>
    <t>Medidores Instalados</t>
  </si>
  <si>
    <t>Medidores</t>
  </si>
  <si>
    <t>Manutenção</t>
  </si>
  <si>
    <t>Vendas</t>
  </si>
  <si>
    <t>Fabricação de medidores</t>
  </si>
  <si>
    <t>Diária Especialista</t>
  </si>
  <si>
    <t>Diária Ajudante</t>
  </si>
  <si>
    <t>Via de Pagamento</t>
  </si>
  <si>
    <t>Consultoria</t>
  </si>
  <si>
    <t>P&amp;D Plataforma</t>
  </si>
  <si>
    <t>Meio de Pagamento</t>
  </si>
  <si>
    <t>Consultoria/P&amp;D</t>
  </si>
  <si>
    <t>Membro</t>
  </si>
  <si>
    <t>Participação no Fat. Mensal</t>
  </si>
  <si>
    <t>Fixo</t>
  </si>
  <si>
    <t>Comissão Consultoria</t>
  </si>
  <si>
    <t>Diárias (Especialista)</t>
  </si>
  <si>
    <t>Comissão Obras</t>
  </si>
  <si>
    <t>Plataforma</t>
  </si>
  <si>
    <t>Diária (Ajudante)</t>
  </si>
  <si>
    <t>Sócio Adm</t>
  </si>
  <si>
    <t>Desenvolvimento</t>
  </si>
  <si>
    <t>Sócio</t>
  </si>
  <si>
    <t>Deduções</t>
  </si>
  <si>
    <t>Mei</t>
  </si>
  <si>
    <t>Igor</t>
  </si>
  <si>
    <t>Consultoria/Obras</t>
  </si>
  <si>
    <t>ok</t>
  </si>
  <si>
    <t>Comissão de Consultoria</t>
  </si>
  <si>
    <t>Tiago</t>
  </si>
  <si>
    <t>Comissões que vem de obras</t>
  </si>
  <si>
    <t>Flavio</t>
  </si>
  <si>
    <t>Dec</t>
  </si>
  <si>
    <t>Evera</t>
  </si>
  <si>
    <t>Estágio</t>
  </si>
  <si>
    <t>Paulo</t>
  </si>
  <si>
    <t>Participação no Fat. Vendas</t>
  </si>
  <si>
    <t>mei</t>
  </si>
  <si>
    <t>Cleber</t>
  </si>
  <si>
    <t>Inspeções/Levantamentos</t>
  </si>
  <si>
    <t>Igor A</t>
  </si>
  <si>
    <t>Comissão de Vendas</t>
  </si>
  <si>
    <t>Tawany</t>
  </si>
  <si>
    <t>Obras</t>
  </si>
  <si>
    <t>Felipe</t>
  </si>
  <si>
    <t>Irregular</t>
  </si>
  <si>
    <t>Teco</t>
  </si>
  <si>
    <t>Obras 1</t>
  </si>
  <si>
    <t>Obras 2</t>
  </si>
  <si>
    <t>Comissão de Obras</t>
  </si>
  <si>
    <t>Tallany</t>
  </si>
  <si>
    <t>Venda de Lotes</t>
  </si>
  <si>
    <t>Gestão De Usina</t>
  </si>
  <si>
    <t>Comissões 2025</t>
  </si>
  <si>
    <t>Instalações</t>
  </si>
  <si>
    <t>Repasse p/ recarga dos chips</t>
  </si>
  <si>
    <t>Desenvolvimento/Suporte</t>
  </si>
  <si>
    <t>Comissão de Pós-Venda</t>
  </si>
  <si>
    <t xml:space="preserve">Gestão </t>
  </si>
  <si>
    <t>Relatórios</t>
  </si>
  <si>
    <t>Lorena</t>
  </si>
  <si>
    <t>Dantre</t>
  </si>
  <si>
    <t>Sandro</t>
  </si>
  <si>
    <t>Falta pagar</t>
  </si>
  <si>
    <t xml:space="preserve"> </t>
  </si>
  <si>
    <t>Gestão Financeira</t>
  </si>
  <si>
    <t>Paulo Araújo</t>
  </si>
  <si>
    <t>Igor Alves</t>
  </si>
  <si>
    <t>Paulo Barroso</t>
  </si>
  <si>
    <t>Tawanny</t>
  </si>
  <si>
    <t>Comissão</t>
  </si>
  <si>
    <t>Time de Software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</si>
</sst>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_-&quot;R$&quot;\ * #,##0.00_-;\-&quot;R$&quot;\ * #,##0.00_-;_-&quot;R$&quot;\ * &quot;-&quot;??_-;_-@"/>
  </numFmts>
  <fonts count="12">
    <font>
      <sz val="10.0"/>
      <color rgb="FF000000"/>
      <name val="Arial"/>
      <scheme val="minor"/>
    </font>
    <font>
      <b/>
      <color theme="1"/>
      <name val="Montserrat"/>
    </font>
    <font>
      <b/>
      <color rgb="FFFFFFFF"/>
      <name val="Montserrat"/>
    </font>
    <font>
      <b/>
      <sz val="12.0"/>
      <color theme="1"/>
      <name val="Aptos Narrow"/>
    </font>
    <font>
      <b/>
      <sz val="12.0"/>
      <color theme="1"/>
      <name val="Arial"/>
    </font>
    <font>
      <sz val="12.0"/>
      <color theme="1"/>
      <name val="Aptos Narrow"/>
    </font>
    <font>
      <sz val="12.0"/>
      <color theme="1"/>
      <name val="Arial"/>
    </font>
    <font>
      <color theme="1"/>
      <name val="Montserrat"/>
    </font>
    <font>
      <color theme="1"/>
      <name val="Arial"/>
    </font>
    <font>
      <color theme="1"/>
      <name val="Arial"/>
      <scheme val="minor"/>
    </font>
    <font>
      <sz val="9.0"/>
      <color rgb="FF1155CC"/>
      <name val="&quot;Google Sans Mono&quot;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95DCC"/>
        <bgColor rgb="FF995DCC"/>
      </patternFill>
    </fill>
    <fill>
      <patternFill patternType="solid">
        <fgColor rgb="FF8E7CC3"/>
        <bgColor rgb="FF8E7CC3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2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995DCC"/>
      </left>
      <top style="medium">
        <color rgb="FF995DCC"/>
      </top>
    </border>
    <border>
      <top style="medium">
        <color rgb="FF995DCC"/>
      </top>
    </border>
    <border>
      <right style="medium">
        <color rgb="FF995DCC"/>
      </right>
      <top style="medium">
        <color rgb="FF995DCC"/>
      </top>
    </border>
    <border>
      <left style="medium">
        <color rgb="FF995DCC"/>
      </left>
    </border>
    <border>
      <right style="medium">
        <color rgb="FF995DCC"/>
      </right>
    </border>
    <border>
      <bottom style="medium">
        <color rgb="FF995DCC"/>
      </bottom>
    </border>
    <border>
      <left style="medium">
        <color rgb="FF995DCC"/>
      </left>
      <bottom style="medium">
        <color rgb="FF995DCC"/>
      </bottom>
    </border>
    <border>
      <right style="medium">
        <color rgb="FF995DCC"/>
      </right>
      <bottom style="medium">
        <color rgb="FF995DCC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 vertical="bottom"/>
    </xf>
    <xf borderId="3" fillId="0" fontId="1" numFmtId="0" xfId="0" applyAlignment="1" applyBorder="1" applyFont="1">
      <alignment horizontal="center" readingOrder="0" vertical="bottom"/>
    </xf>
    <xf borderId="4" fillId="2" fontId="2" numFmtId="0" xfId="0" applyAlignment="1" applyBorder="1" applyFill="1" applyFont="1">
      <alignment horizontal="center" readingOrder="0"/>
    </xf>
    <xf borderId="5" fillId="0" fontId="3" numFmtId="0" xfId="0" applyBorder="1" applyFont="1"/>
    <xf borderId="6" fillId="0" fontId="4" numFmtId="0" xfId="0" applyAlignment="1" applyBorder="1" applyFont="1">
      <alignment horizontal="center"/>
    </xf>
    <xf borderId="7" fillId="0" fontId="4" numFmtId="0" xfId="0" applyAlignment="1" applyBorder="1" applyFont="1">
      <alignment horizontal="center"/>
    </xf>
    <xf borderId="4" fillId="3" fontId="5" numFmtId="0" xfId="0" applyAlignment="1" applyBorder="1" applyFill="1" applyFont="1">
      <alignment vertical="bottom"/>
    </xf>
    <xf borderId="0" fillId="2" fontId="2" numFmtId="164" xfId="0" applyAlignment="1" applyFont="1" applyNumberFormat="1">
      <alignment horizontal="center"/>
    </xf>
    <xf borderId="0" fillId="0" fontId="6" numFmtId="165" xfId="0" applyAlignment="1" applyFont="1" applyNumberFormat="1">
      <alignment horizontal="center" vertical="bottom"/>
    </xf>
    <xf borderId="0" fillId="0" fontId="6" numFmtId="165" xfId="0" applyAlignment="1" applyFont="1" applyNumberFormat="1">
      <alignment horizontal="center" readingOrder="0"/>
    </xf>
    <xf borderId="8" fillId="0" fontId="6" numFmtId="165" xfId="0" applyAlignment="1" applyBorder="1" applyFont="1" applyNumberFormat="1">
      <alignment horizontal="center"/>
    </xf>
    <xf borderId="4" fillId="3" fontId="6" numFmtId="0" xfId="0" applyAlignment="1" applyBorder="1" applyFont="1">
      <alignment vertical="bottom"/>
    </xf>
    <xf borderId="0" fillId="0" fontId="6" numFmtId="165" xfId="0" applyAlignment="1" applyFont="1" applyNumberFormat="1">
      <alignment horizontal="center"/>
    </xf>
    <xf borderId="0" fillId="0" fontId="5" numFmtId="165" xfId="0" applyAlignment="1" applyFont="1" applyNumberFormat="1">
      <alignment horizontal="center"/>
    </xf>
    <xf borderId="0" fillId="0" fontId="5" numFmtId="165" xfId="0" applyAlignment="1" applyFont="1" applyNumberFormat="1">
      <alignment horizontal="center" vertical="bottom"/>
    </xf>
    <xf borderId="4" fillId="0" fontId="1" numFmtId="0" xfId="0" applyAlignment="1" applyBorder="1" applyFont="1">
      <alignment horizontal="center" readingOrder="0"/>
    </xf>
    <xf borderId="4" fillId="4" fontId="5" numFmtId="0" xfId="0" applyAlignment="1" applyBorder="1" applyFill="1" applyFont="1">
      <alignment vertical="bottom"/>
    </xf>
    <xf borderId="0" fillId="0" fontId="1" numFmtId="164" xfId="0" applyAlignment="1" applyFont="1" applyNumberFormat="1">
      <alignment horizontal="center"/>
    </xf>
    <xf borderId="9" fillId="3" fontId="5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8" fillId="0" fontId="5" numFmtId="165" xfId="0" applyAlignment="1" applyBorder="1" applyFont="1" applyNumberFormat="1">
      <alignment horizontal="center"/>
    </xf>
    <xf borderId="9" fillId="0" fontId="5" numFmtId="0" xfId="0" applyAlignment="1" applyBorder="1" applyFont="1">
      <alignment vertical="bottom"/>
    </xf>
    <xf borderId="0" fillId="0" fontId="5" numFmtId="165" xfId="0" applyFont="1" applyNumberFormat="1"/>
    <xf borderId="9" fillId="3" fontId="6" numFmtId="0" xfId="0" applyAlignment="1" applyBorder="1" applyFont="1">
      <alignment vertical="bottom"/>
    </xf>
    <xf borderId="4" fillId="4" fontId="6" numFmtId="0" xfId="0" applyAlignment="1" applyBorder="1" applyFont="1">
      <alignment vertical="bottom"/>
    </xf>
    <xf borderId="8" fillId="0" fontId="5" numFmtId="165" xfId="0" applyBorder="1" applyFont="1" applyNumberFormat="1"/>
    <xf borderId="10" fillId="0" fontId="5" numFmtId="0" xfId="0" applyAlignment="1" applyBorder="1" applyFont="1">
      <alignment vertical="bottom"/>
    </xf>
    <xf borderId="11" fillId="0" fontId="5" numFmtId="0" xfId="0" applyAlignment="1" applyBorder="1" applyFont="1">
      <alignment vertical="bottom"/>
    </xf>
    <xf borderId="11" fillId="0" fontId="5" numFmtId="165" xfId="0" applyBorder="1" applyFont="1" applyNumberFormat="1"/>
    <xf borderId="12" fillId="0" fontId="5" numFmtId="165" xfId="0" applyBorder="1" applyFont="1" applyNumberFormat="1"/>
    <xf borderId="5" fillId="0" fontId="5" numFmtId="0" xfId="0" applyAlignment="1" applyBorder="1" applyFont="1">
      <alignment vertical="bottom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 vertical="bottom"/>
    </xf>
    <xf borderId="0" fillId="2" fontId="2" numFmtId="164" xfId="0" applyAlignment="1" applyFont="1" applyNumberFormat="1">
      <alignment horizontal="center" readingOrder="0"/>
    </xf>
    <xf borderId="0" fillId="0" fontId="7" numFmtId="164" xfId="0" applyAlignment="1" applyFont="1" applyNumberFormat="1">
      <alignment horizontal="center" readingOrder="0" vertical="bottom"/>
    </xf>
    <xf borderId="0" fillId="0" fontId="7" numFmtId="164" xfId="0" applyAlignment="1" applyFont="1" applyNumberFormat="1">
      <alignment horizontal="center" readingOrder="0"/>
    </xf>
    <xf borderId="0" fillId="0" fontId="7" numFmtId="164" xfId="0" applyAlignment="1" applyFont="1" applyNumberFormat="1">
      <alignment horizontal="center" vertical="bottom"/>
    </xf>
    <xf borderId="0" fillId="0" fontId="7" numFmtId="164" xfId="0" applyAlignment="1" applyFont="1" applyNumberFormat="1">
      <alignment horizontal="center"/>
    </xf>
    <xf borderId="10" fillId="0" fontId="1" numFmtId="0" xfId="0" applyAlignment="1" applyBorder="1" applyFont="1">
      <alignment horizontal="center" readingOrder="0"/>
    </xf>
    <xf borderId="0" fillId="0" fontId="9" numFmtId="164" xfId="0" applyFont="1" applyNumberFormat="1"/>
    <xf borderId="6" fillId="0" fontId="5" numFmtId="165" xfId="0" applyAlignment="1" applyBorder="1" applyFont="1" applyNumberFormat="1">
      <alignment horizontal="right" vertical="bottom"/>
    </xf>
    <xf borderId="0" fillId="0" fontId="7" numFmtId="0" xfId="0" applyAlignment="1" applyFont="1">
      <alignment horizontal="center" readingOrder="0" vertical="bottom"/>
    </xf>
    <xf borderId="11" fillId="0" fontId="1" numFmtId="164" xfId="0" applyAlignment="1" applyBorder="1" applyFont="1" applyNumberFormat="1">
      <alignment horizontal="center"/>
    </xf>
    <xf borderId="13" fillId="0" fontId="1" numFmtId="0" xfId="0" applyAlignment="1" applyBorder="1" applyFont="1">
      <alignment horizontal="center" readingOrder="0"/>
    </xf>
    <xf borderId="14" fillId="0" fontId="1" numFmtId="0" xfId="0" applyAlignment="1" applyBorder="1" applyFont="1">
      <alignment horizontal="center" readingOrder="0"/>
    </xf>
    <xf borderId="15" fillId="0" fontId="1" numFmtId="0" xfId="0" applyAlignment="1" applyBorder="1" applyFont="1">
      <alignment horizontal="center" readingOrder="0"/>
    </xf>
    <xf borderId="16" fillId="0" fontId="7" numFmtId="0" xfId="0" applyAlignment="1" applyBorder="1" applyFont="1">
      <alignment horizontal="center" readingOrder="0"/>
    </xf>
    <xf borderId="0" fillId="0" fontId="7" numFmtId="0" xfId="0" applyAlignment="1" applyFont="1">
      <alignment horizontal="center"/>
    </xf>
    <xf borderId="17" fillId="0" fontId="7" numFmtId="0" xfId="0" applyAlignment="1" applyBorder="1" applyFont="1">
      <alignment horizontal="center"/>
    </xf>
    <xf borderId="18" fillId="0" fontId="7" numFmtId="0" xfId="0" applyAlignment="1" applyBorder="1" applyFont="1">
      <alignment horizontal="center" readingOrder="0" vertical="center"/>
    </xf>
    <xf borderId="18" fillId="0" fontId="7" numFmtId="0" xfId="0" applyAlignment="1" applyBorder="1" applyFont="1">
      <alignment horizontal="center" readingOrder="0"/>
    </xf>
    <xf borderId="18" fillId="0" fontId="7" numFmtId="164" xfId="0" applyAlignment="1" applyBorder="1" applyFont="1" applyNumberFormat="1">
      <alignment horizontal="center" readingOrder="0"/>
    </xf>
    <xf borderId="18" fillId="0" fontId="7" numFmtId="0" xfId="0" applyAlignment="1" applyBorder="1" applyFont="1">
      <alignment horizontal="center" vertical="center"/>
    </xf>
    <xf borderId="18" fillId="0" fontId="7" numFmtId="0" xfId="0" applyAlignment="1" applyBorder="1" applyFont="1">
      <alignment horizontal="center" readingOrder="0" vertical="bottom"/>
    </xf>
    <xf borderId="17" fillId="0" fontId="7" numFmtId="164" xfId="0" applyAlignment="1" applyBorder="1" applyFont="1" applyNumberFormat="1">
      <alignment horizontal="center" readingOrder="0"/>
    </xf>
    <xf borderId="18" fillId="0" fontId="7" numFmtId="164" xfId="0" applyAlignment="1" applyBorder="1" applyFont="1" applyNumberFormat="1">
      <alignment horizontal="center" vertical="bottom"/>
    </xf>
    <xf borderId="0" fillId="0" fontId="1" numFmtId="0" xfId="0" applyAlignment="1" applyFont="1">
      <alignment horizontal="center" readingOrder="0"/>
    </xf>
    <xf borderId="17" fillId="0" fontId="7" numFmtId="164" xfId="0" applyAlignment="1" applyBorder="1" applyFont="1" applyNumberFormat="1">
      <alignment horizontal="center"/>
    </xf>
    <xf borderId="0" fillId="0" fontId="1" numFmtId="164" xfId="0" applyAlignment="1" applyFont="1" applyNumberFormat="1">
      <alignment horizontal="left" readingOrder="0"/>
    </xf>
    <xf borderId="0" fillId="0" fontId="7" numFmtId="164" xfId="0" applyAlignment="1" applyFont="1" applyNumberFormat="1">
      <alignment horizontal="left"/>
    </xf>
    <xf borderId="0" fillId="0" fontId="9" numFmtId="0" xfId="0" applyAlignment="1" applyFont="1">
      <alignment readingOrder="0"/>
    </xf>
    <xf borderId="0" fillId="0" fontId="7" numFmtId="164" xfId="0" applyAlignment="1" applyFont="1" applyNumberFormat="1">
      <alignment horizontal="right" readingOrder="0"/>
    </xf>
    <xf borderId="17" fillId="0" fontId="9" numFmtId="0" xfId="0" applyBorder="1" applyFont="1"/>
    <xf borderId="0" fillId="0" fontId="9" numFmtId="164" xfId="0" applyAlignment="1" applyFont="1" applyNumberFormat="1">
      <alignment horizontal="center" readingOrder="0"/>
    </xf>
    <xf borderId="0" fillId="0" fontId="7" numFmtId="164" xfId="0" applyAlignment="1" applyFont="1" applyNumberFormat="1">
      <alignment horizontal="left" readingOrder="0"/>
    </xf>
    <xf borderId="19" fillId="0" fontId="7" numFmtId="0" xfId="0" applyAlignment="1" applyBorder="1" applyFont="1">
      <alignment horizontal="center"/>
    </xf>
    <xf borderId="18" fillId="0" fontId="7" numFmtId="0" xfId="0" applyAlignment="1" applyBorder="1" applyFont="1">
      <alignment horizontal="center"/>
    </xf>
    <xf borderId="18" fillId="0" fontId="1" numFmtId="0" xfId="0" applyAlignment="1" applyBorder="1" applyFont="1">
      <alignment horizontal="center" readingOrder="0"/>
    </xf>
    <xf borderId="0" fillId="0" fontId="9" numFmtId="164" xfId="0" applyAlignment="1" applyFont="1" applyNumberFormat="1">
      <alignment horizontal="center"/>
    </xf>
    <xf borderId="0" fillId="0" fontId="7" numFmtId="0" xfId="0" applyAlignment="1" applyFont="1">
      <alignment horizontal="right" readingOrder="0"/>
    </xf>
    <xf borderId="18" fillId="0" fontId="1" numFmtId="164" xfId="0" applyAlignment="1" applyBorder="1" applyFont="1" applyNumberFormat="1">
      <alignment horizontal="center"/>
    </xf>
    <xf borderId="20" fillId="0" fontId="9" numFmtId="0" xfId="0" applyBorder="1" applyFont="1"/>
    <xf borderId="0" fillId="0" fontId="9" numFmtId="0" xfId="0" applyFont="1"/>
    <xf borderId="0" fillId="0" fontId="1" numFmtId="0" xfId="0" applyAlignment="1" applyFont="1">
      <alignment horizontal="center"/>
    </xf>
    <xf borderId="0" fillId="0" fontId="9" numFmtId="0" xfId="0" applyAlignment="1" applyFont="1">
      <alignment horizontal="center"/>
    </xf>
    <xf borderId="18" fillId="0" fontId="7" numFmtId="164" xfId="0" applyAlignment="1" applyBorder="1" applyFont="1" applyNumberFormat="1">
      <alignment horizontal="center" readingOrder="0" vertical="bottom"/>
    </xf>
    <xf borderId="0" fillId="0" fontId="9" numFmtId="0" xfId="0" applyAlignment="1" applyFont="1">
      <alignment horizontal="center" readingOrder="0"/>
    </xf>
    <xf borderId="18" fillId="0" fontId="7" numFmtId="164" xfId="0" applyAlignment="1" applyBorder="1" applyFont="1" applyNumberFormat="1">
      <alignment horizontal="center"/>
    </xf>
    <xf borderId="0" fillId="5" fontId="10" numFmtId="164" xfId="0" applyAlignment="1" applyFill="1" applyFont="1" applyNumberFormat="1">
      <alignment readingOrder="0"/>
    </xf>
    <xf borderId="0" fillId="0" fontId="11" numFmtId="0" xfId="0" applyAlignment="1" applyFont="1">
      <alignment horizontal="right"/>
    </xf>
    <xf borderId="0" fillId="0" fontId="1" numFmtId="164" xfId="0" applyAlignment="1" applyFont="1" applyNumberFormat="1">
      <alignment horizontal="left"/>
    </xf>
    <xf borderId="0" fillId="0" fontId="9" numFmtId="10" xfId="0" applyAlignment="1" applyFont="1" applyNumberFormat="1">
      <alignment horizontal="center"/>
    </xf>
    <xf borderId="14" fillId="0" fontId="1" numFmtId="164" xfId="0" applyAlignment="1" applyBorder="1" applyFont="1" applyNumberFormat="1">
      <alignment horizontal="center"/>
    </xf>
    <xf borderId="0" fillId="0" fontId="9" numFmtId="10" xfId="0" applyFont="1" applyNumberFormat="1"/>
    <xf borderId="18" fillId="0" fontId="7" numFmtId="0" xfId="0" applyAlignment="1" applyBorder="1" applyFont="1">
      <alignment horizontal="center" vertical="bottom"/>
    </xf>
    <xf borderId="18" fillId="0" fontId="9" numFmtId="0" xfId="0" applyBorder="1" applyFont="1"/>
    <xf borderId="18" fillId="0" fontId="1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.38"/>
    <col customWidth="1" min="3" max="3" width="19.63"/>
    <col customWidth="1" min="4" max="4" width="26.13"/>
    <col customWidth="1" min="5" max="5" width="19.75"/>
    <col customWidth="1" min="6" max="6" width="24.25"/>
    <col customWidth="1" min="7" max="7" width="21.88"/>
  </cols>
  <sheetData>
    <row r="2">
      <c r="C2" s="1"/>
      <c r="D2" s="2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3" t="s">
        <v>11</v>
      </c>
    </row>
    <row r="3">
      <c r="C3" s="4"/>
      <c r="D3" s="9">
        <f>'Vendas e Engenharia'!G67</f>
        <v>30191.66</v>
      </c>
      <c r="E3" s="9">
        <f>'Vendas e Engenharia'!H67</f>
        <v>30059.73</v>
      </c>
      <c r="F3" s="9">
        <f>'Vendas e Engenharia'!I67</f>
        <v>41846.95</v>
      </c>
      <c r="G3" s="9">
        <f>'Vendas e Engenharia'!J67</f>
        <v>40111.45</v>
      </c>
      <c r="H3" s="9">
        <f>'Vendas e Engenharia'!K67</f>
        <v>43675.7</v>
      </c>
      <c r="I3" s="9">
        <f>'Vendas e Engenharia'!L67</f>
        <v>41043.7</v>
      </c>
      <c r="J3" s="9">
        <f>'Vendas e Engenharia'!M67</f>
        <v>44625.7</v>
      </c>
      <c r="K3" s="9">
        <f>'Vendas e Engenharia'!N67</f>
        <v>45186.3</v>
      </c>
      <c r="L3" s="9">
        <f>'Vendas e Engenharia'!O67</f>
        <v>0</v>
      </c>
      <c r="M3" s="9">
        <f>'Vendas e Engenharia'!P67</f>
        <v>0</v>
      </c>
      <c r="N3" s="9">
        <f>'Vendas e Engenharia'!Q67</f>
        <v>0</v>
      </c>
      <c r="O3" s="9">
        <f>'Vendas e Engenharia'!R67</f>
        <v>0</v>
      </c>
    </row>
    <row r="4">
      <c r="C4" s="17"/>
      <c r="D4" s="19">
        <f>Hardware!F61</f>
        <v>15075</v>
      </c>
      <c r="E4" s="19">
        <f>Hardware!G61</f>
        <v>13200</v>
      </c>
      <c r="F4" s="19">
        <f>Hardware!H61</f>
        <v>13800</v>
      </c>
      <c r="G4" s="19">
        <f>Hardware!I61</f>
        <v>13321</v>
      </c>
      <c r="H4" s="19">
        <f>Hardware!J61</f>
        <v>10821</v>
      </c>
      <c r="I4" s="19">
        <f>Hardware!K61</f>
        <v>13321</v>
      </c>
      <c r="J4" s="19">
        <f>Hardware!L61</f>
        <v>14471</v>
      </c>
      <c r="K4" s="19">
        <f>Hardware!M61</f>
        <v>14471</v>
      </c>
      <c r="L4" s="19">
        <f>Hardware!N61</f>
        <v>0</v>
      </c>
      <c r="M4" s="19">
        <f>Hardware!O61</f>
        <v>0</v>
      </c>
      <c r="N4" s="19">
        <f>Hardware!P61</f>
        <v>0</v>
      </c>
      <c r="O4" s="19">
        <f>Hardware!Q61</f>
        <v>0</v>
      </c>
    </row>
    <row r="5">
      <c r="C5" s="4"/>
      <c r="D5" s="9">
        <f>Software!D10</f>
        <v>7998.4</v>
      </c>
      <c r="E5" s="9">
        <f>Software!E10</f>
        <v>8000</v>
      </c>
      <c r="F5" s="9">
        <f>Software!F10</f>
        <v>7000</v>
      </c>
      <c r="G5" s="9">
        <f>Software!G10</f>
        <v>7000</v>
      </c>
      <c r="H5" s="9">
        <f>Software!H10</f>
        <v>7000</v>
      </c>
      <c r="I5" s="9">
        <f>Software!I10</f>
        <v>7000</v>
      </c>
      <c r="J5" s="9">
        <f>Software!J10</f>
        <v>7000</v>
      </c>
      <c r="K5" s="9">
        <f>Software!K10</f>
        <v>7000</v>
      </c>
      <c r="L5" s="9">
        <f>Software!L10</f>
        <v>0</v>
      </c>
      <c r="M5" s="9">
        <f>Software!M10</f>
        <v>0</v>
      </c>
      <c r="N5" s="9">
        <f>Software!N10</f>
        <v>0</v>
      </c>
      <c r="O5" s="9">
        <f>Software!O10</f>
        <v>0</v>
      </c>
    </row>
    <row r="6">
      <c r="C6" s="17"/>
      <c r="D6" s="40"/>
      <c r="E6" s="40">
        <v>970.0</v>
      </c>
      <c r="F6" s="40">
        <v>970.0</v>
      </c>
      <c r="G6" s="40"/>
      <c r="H6" s="40"/>
      <c r="I6" s="40">
        <v>1000.0</v>
      </c>
      <c r="J6" s="40"/>
      <c r="K6" s="40"/>
      <c r="L6" s="40"/>
      <c r="M6" s="40"/>
      <c r="N6" s="40"/>
      <c r="O6" s="40"/>
    </row>
    <row r="7">
      <c r="C7" s="4"/>
      <c r="D7" s="42">
        <f>900</f>
        <v>900</v>
      </c>
      <c r="E7" s="42">
        <v>900.0</v>
      </c>
      <c r="F7" s="42">
        <v>900.0</v>
      </c>
      <c r="G7" s="42"/>
      <c r="H7" s="42"/>
      <c r="I7" s="42">
        <v>900.0</v>
      </c>
      <c r="J7" s="42"/>
      <c r="K7" s="42"/>
      <c r="L7" s="42"/>
      <c r="M7" s="42"/>
      <c r="N7" s="42"/>
      <c r="O7" s="42"/>
    </row>
    <row r="8">
      <c r="C8" s="47"/>
      <c r="D8" s="51">
        <f>SUM(D3:D7)</f>
        <v>54165.06</v>
      </c>
      <c r="E8" s="51">
        <f>SUM(E3:E7)-'Vendas e Engenharia'!H33</f>
        <v>47264.23</v>
      </c>
      <c r="F8" s="51">
        <f t="shared" ref="F8:H8" si="1">SUM(F3:F7)</f>
        <v>64516.95</v>
      </c>
      <c r="G8" s="51">
        <f t="shared" si="1"/>
        <v>60432.45</v>
      </c>
      <c r="H8" s="51">
        <f t="shared" si="1"/>
        <v>61496.7</v>
      </c>
      <c r="I8" s="51">
        <f>SUM(I3:I7)-1400</f>
        <v>61864.7</v>
      </c>
      <c r="J8" s="51">
        <f t="shared" ref="J8:O8" si="2">SUM(J3:J7)</f>
        <v>66096.7</v>
      </c>
      <c r="K8" s="51">
        <f t="shared" si="2"/>
        <v>66657.3</v>
      </c>
      <c r="L8" s="51">
        <f t="shared" si="2"/>
        <v>0</v>
      </c>
      <c r="M8" s="51">
        <f t="shared" si="2"/>
        <v>0</v>
      </c>
      <c r="N8" s="51">
        <f t="shared" si="2"/>
        <v>0</v>
      </c>
      <c r="O8" s="51">
        <f t="shared" si="2"/>
        <v>0</v>
      </c>
    </row>
    <row r="11">
      <c r="C11" s="65"/>
      <c r="E11" s="44"/>
      <c r="F11" s="44"/>
      <c r="G11" s="44"/>
      <c r="H11" s="44"/>
      <c r="I11" s="67"/>
      <c r="N11" s="44"/>
      <c r="O11" s="44"/>
    </row>
    <row r="12">
      <c r="C12" s="65"/>
      <c r="D12" s="44"/>
      <c r="E12" s="44" t="s">
        <v>61</v>
      </c>
      <c r="F12" s="44" t="s">
        <v>20</v>
      </c>
      <c r="G12" s="68">
        <f>'Vendas e Engenharia'!N3</f>
        <v>5000</v>
      </c>
      <c r="H12" s="69" t="s">
        <v>68</v>
      </c>
      <c r="I12" s="70"/>
      <c r="J12" s="69" t="s">
        <v>71</v>
      </c>
      <c r="N12" s="44"/>
      <c r="O12" s="44"/>
    </row>
    <row r="13">
      <c r="C13" s="65"/>
      <c r="D13" s="44"/>
      <c r="E13" s="44" t="s">
        <v>63</v>
      </c>
      <c r="F13" s="44" t="s">
        <v>18</v>
      </c>
      <c r="G13" s="68">
        <f>'Vendas e Engenharia'!N13</f>
        <v>11300.7</v>
      </c>
      <c r="H13" s="48">
        <f>G13-1621</f>
        <v>9679.7</v>
      </c>
      <c r="I13" s="70"/>
      <c r="J13" s="48">
        <f>SUM('Vendas e Engenharia'!J38,'Vendas e Engenharia'!J25,'Vendas e Engenharia'!J15)</f>
        <v>3010</v>
      </c>
      <c r="N13" s="44"/>
      <c r="O13" s="44"/>
    </row>
    <row r="14">
      <c r="C14" s="65"/>
      <c r="D14" s="44"/>
      <c r="E14" s="44" t="s">
        <v>63</v>
      </c>
      <c r="F14" s="44" t="s">
        <v>17</v>
      </c>
      <c r="G14" s="68">
        <f>'Vendas e Engenharia'!N23</f>
        <v>7500</v>
      </c>
      <c r="H14" s="69" t="s">
        <v>68</v>
      </c>
      <c r="I14" s="70"/>
      <c r="N14" s="44"/>
      <c r="O14" s="44"/>
    </row>
    <row r="15">
      <c r="C15" s="65"/>
      <c r="D15" s="44"/>
      <c r="E15" s="44" t="s">
        <v>65</v>
      </c>
      <c r="F15" s="44" t="s">
        <v>66</v>
      </c>
      <c r="G15" s="73">
        <f>'Vendas e Engenharia'!N33</f>
        <v>8868.6</v>
      </c>
      <c r="H15" s="69" t="s">
        <v>68</v>
      </c>
      <c r="I15" s="70"/>
      <c r="N15" s="44"/>
      <c r="O15" s="44"/>
    </row>
    <row r="16">
      <c r="C16" s="65"/>
      <c r="D16" s="44"/>
      <c r="E16" s="44" t="s">
        <v>61</v>
      </c>
      <c r="F16" s="44" t="s">
        <v>21</v>
      </c>
      <c r="G16" s="68">
        <f>Hardware!M6</f>
        <v>4500</v>
      </c>
      <c r="H16" s="69" t="s">
        <v>68</v>
      </c>
      <c r="I16" s="78"/>
      <c r="J16" s="81">
        <f>5000-1621</f>
        <v>3379</v>
      </c>
      <c r="N16" s="44"/>
      <c r="O16" s="44"/>
    </row>
    <row r="17">
      <c r="C17" s="65"/>
      <c r="D17" s="82"/>
      <c r="E17" s="44" t="s">
        <v>63</v>
      </c>
      <c r="F17" s="44" t="s">
        <v>23</v>
      </c>
      <c r="G17" s="68">
        <f>Hardware!M17</f>
        <v>1621</v>
      </c>
      <c r="H17" s="69" t="s">
        <v>68</v>
      </c>
      <c r="I17" s="70"/>
    </row>
    <row r="18">
      <c r="C18" s="65"/>
      <c r="D18" s="19"/>
      <c r="E18" s="44" t="s">
        <v>63</v>
      </c>
      <c r="F18" s="44" t="s">
        <v>70</v>
      </c>
      <c r="G18" s="68">
        <f>Hardware!M28</f>
        <v>600</v>
      </c>
      <c r="H18" s="69" t="s">
        <v>68</v>
      </c>
      <c r="I18" s="70"/>
      <c r="J18" s="81" t="str">
        <f>#REF!-J16-1621</f>
        <v>#REF!</v>
      </c>
    </row>
    <row r="19">
      <c r="E19" s="85" t="s">
        <v>65</v>
      </c>
      <c r="F19" s="44" t="s">
        <v>72</v>
      </c>
      <c r="G19" s="73">
        <f>Hardware!M39</f>
        <v>5100</v>
      </c>
      <c r="H19" s="69" t="s">
        <v>68</v>
      </c>
      <c r="I19" s="78"/>
    </row>
    <row r="20">
      <c r="E20" s="85" t="s">
        <v>65</v>
      </c>
      <c r="F20" s="44" t="s">
        <v>25</v>
      </c>
      <c r="G20" s="73">
        <f>Hardware!M50</f>
        <v>2650</v>
      </c>
      <c r="H20" s="69" t="s">
        <v>68</v>
      </c>
      <c r="I20" s="78"/>
    </row>
    <row r="21">
      <c r="E21" s="44" t="s">
        <v>61</v>
      </c>
      <c r="F21" s="44" t="s">
        <v>73</v>
      </c>
      <c r="G21" s="68">
        <f>Software!K4</f>
        <v>4500</v>
      </c>
      <c r="H21" s="69" t="s">
        <v>68</v>
      </c>
      <c r="I21" s="78"/>
    </row>
    <row r="22">
      <c r="C22" s="39"/>
      <c r="D22" s="56"/>
      <c r="E22" s="85" t="s">
        <v>65</v>
      </c>
      <c r="F22" s="44" t="s">
        <v>74</v>
      </c>
      <c r="G22" s="68">
        <v>1500.0</v>
      </c>
      <c r="H22" s="69" t="s">
        <v>68</v>
      </c>
      <c r="I22" s="70"/>
    </row>
    <row r="23">
      <c r="C23" s="39"/>
      <c r="D23" s="56"/>
      <c r="E23" s="44" t="s">
        <v>63</v>
      </c>
      <c r="F23" s="44" t="s">
        <v>34</v>
      </c>
      <c r="G23" s="68">
        <f>Software!K7+2000</f>
        <v>3000</v>
      </c>
      <c r="H23" s="69" t="s">
        <v>68</v>
      </c>
      <c r="I23" s="70"/>
    </row>
    <row r="24">
      <c r="C24" s="39"/>
      <c r="D24" s="56"/>
      <c r="E24" s="85" t="s">
        <v>75</v>
      </c>
      <c r="F24" s="44" t="s">
        <v>76</v>
      </c>
      <c r="G24" s="68">
        <f>'Vendas e Engenharia'!N43</f>
        <v>1300</v>
      </c>
      <c r="H24" s="69" t="s">
        <v>68</v>
      </c>
      <c r="I24" s="70"/>
    </row>
    <row r="25">
      <c r="C25" s="39"/>
      <c r="D25" s="56"/>
      <c r="E25" s="44" t="s">
        <v>61</v>
      </c>
      <c r="F25" s="44" t="s">
        <v>30</v>
      </c>
      <c r="G25" s="68">
        <v>900.0</v>
      </c>
      <c r="H25" s="69" t="s">
        <v>68</v>
      </c>
      <c r="I25" s="70"/>
    </row>
    <row r="26">
      <c r="C26" s="39"/>
      <c r="D26" s="56"/>
      <c r="E26" s="44" t="s">
        <v>78</v>
      </c>
      <c r="F26" s="44" t="s">
        <v>101</v>
      </c>
      <c r="G26" s="68">
        <v>1000.0</v>
      </c>
      <c r="H26" s="69" t="s">
        <v>68</v>
      </c>
      <c r="I26" s="70"/>
    </row>
    <row r="27">
      <c r="C27" s="39"/>
      <c r="D27" s="56"/>
      <c r="E27" s="85" t="s">
        <v>78</v>
      </c>
      <c r="F27" s="44" t="s">
        <v>79</v>
      </c>
      <c r="G27" s="68">
        <f>'Vendas e Engenharia'!N51</f>
        <v>3000</v>
      </c>
      <c r="H27" s="69" t="s">
        <v>68</v>
      </c>
      <c r="I27" s="70"/>
    </row>
    <row r="28">
      <c r="C28" s="39"/>
      <c r="D28" s="56"/>
      <c r="E28" s="85" t="s">
        <v>78</v>
      </c>
      <c r="F28" s="44" t="s">
        <v>81</v>
      </c>
      <c r="G28" s="68">
        <f>'Vendas e Engenharia'!N47</f>
        <v>1500</v>
      </c>
      <c r="H28" s="69" t="s">
        <v>68</v>
      </c>
      <c r="I28" s="70"/>
    </row>
    <row r="29">
      <c r="C29" s="39"/>
      <c r="D29" s="56"/>
      <c r="E29" s="85" t="s">
        <v>78</v>
      </c>
      <c r="F29" s="44" t="s">
        <v>26</v>
      </c>
      <c r="G29" s="68">
        <f>'Vendas e Engenharia'!N63</f>
        <v>5417</v>
      </c>
      <c r="H29" s="69" t="s">
        <v>68</v>
      </c>
      <c r="I29" s="70"/>
    </row>
    <row r="30">
      <c r="C30" s="39"/>
      <c r="D30" s="56"/>
      <c r="E30" s="85" t="s">
        <v>78</v>
      </c>
      <c r="F30" s="44" t="s">
        <v>83</v>
      </c>
      <c r="G30" s="68">
        <f>'Vendas e Engenharia'!N59</f>
        <v>1300</v>
      </c>
      <c r="H30" s="69" t="s">
        <v>68</v>
      </c>
      <c r="I30" s="70"/>
    </row>
    <row r="31">
      <c r="C31" s="39"/>
      <c r="D31" s="56"/>
      <c r="E31" s="44" t="s">
        <v>75</v>
      </c>
      <c r="F31" s="44" t="s">
        <v>102</v>
      </c>
      <c r="G31" s="68">
        <v>1000.0</v>
      </c>
      <c r="H31" s="69" t="s">
        <v>68</v>
      </c>
      <c r="I31" s="70"/>
      <c r="J31" s="44"/>
    </row>
    <row r="32">
      <c r="C32" s="39"/>
      <c r="D32" s="56"/>
      <c r="E32" s="44" t="s">
        <v>75</v>
      </c>
      <c r="F32" s="44" t="s">
        <v>103</v>
      </c>
      <c r="G32" s="68">
        <v>1000.0</v>
      </c>
      <c r="H32" s="69" t="s">
        <v>68</v>
      </c>
      <c r="I32" s="88"/>
      <c r="J32" s="44"/>
    </row>
    <row r="33">
      <c r="C33" s="39"/>
      <c r="D33" s="56"/>
      <c r="F33" s="40" t="s">
        <v>104</v>
      </c>
      <c r="G33" s="89">
        <f>SUM(G12:G32)</f>
        <v>72557.3</v>
      </c>
      <c r="H33" s="46"/>
    </row>
    <row r="34">
      <c r="C34" s="39"/>
      <c r="D34" s="56"/>
      <c r="F34" s="72"/>
      <c r="H34" s="39"/>
    </row>
    <row r="35">
      <c r="C35" s="39"/>
      <c r="D35" s="56"/>
      <c r="F35" s="72"/>
    </row>
    <row r="36">
      <c r="C36" s="39"/>
      <c r="D36" s="56"/>
      <c r="F36" s="72"/>
    </row>
    <row r="37">
      <c r="F37" s="72"/>
      <c r="G37" s="69">
        <v>7163.0</v>
      </c>
    </row>
    <row r="38">
      <c r="G38" s="48">
        <f>SUM(G15,G19,G20,G27,G28,G14,G17,G12,G16)</f>
        <v>39739.6</v>
      </c>
      <c r="J38" s="85"/>
      <c r="K38" s="85"/>
      <c r="L38" s="85"/>
      <c r="M38" s="85"/>
      <c r="N38" s="85"/>
      <c r="O38" s="85"/>
      <c r="P38" s="83"/>
      <c r="Q38" s="83"/>
    </row>
    <row r="39">
      <c r="G39" s="81">
        <f>SUM(G37:G38)</f>
        <v>46902.6</v>
      </c>
      <c r="J39" s="85"/>
      <c r="K39" s="85"/>
      <c r="L39" s="83"/>
      <c r="M39" s="77"/>
      <c r="N39" s="77"/>
      <c r="O39" s="83"/>
      <c r="P39" s="90"/>
      <c r="Q39" s="83"/>
    </row>
    <row r="40">
      <c r="G40" s="69">
        <v>1621.0</v>
      </c>
      <c r="J40" s="85"/>
      <c r="K40" s="85"/>
      <c r="L40" s="83"/>
      <c r="M40" s="77"/>
      <c r="N40" s="77"/>
      <c r="O40" s="83"/>
      <c r="P40" s="90"/>
      <c r="Q40" s="83"/>
    </row>
    <row r="41">
      <c r="G41" s="69">
        <v>1300.0</v>
      </c>
      <c r="J41" s="83"/>
      <c r="K41" s="83"/>
      <c r="L41" s="83"/>
      <c r="M41" s="83"/>
      <c r="N41" s="83"/>
      <c r="O41" s="83"/>
      <c r="P41" s="83"/>
      <c r="Q41" s="83"/>
    </row>
    <row r="42">
      <c r="J42" s="83"/>
      <c r="K42" s="90"/>
      <c r="L42" s="83"/>
      <c r="M42" s="83"/>
      <c r="N42" s="83"/>
      <c r="O42" s="83"/>
      <c r="P42" s="83"/>
      <c r="Q42" s="83"/>
    </row>
    <row r="43">
      <c r="J43" s="83"/>
      <c r="K43" s="83"/>
      <c r="L43" s="83"/>
      <c r="M43" s="83"/>
      <c r="N43" s="83"/>
      <c r="O43" s="83"/>
      <c r="P43" s="83"/>
      <c r="Q43" s="83"/>
    </row>
    <row r="44">
      <c r="J44" s="83"/>
      <c r="K44" s="83"/>
      <c r="L44" s="83"/>
      <c r="M44" s="83"/>
      <c r="N44" s="83"/>
      <c r="O44" s="83"/>
      <c r="P44" s="83"/>
      <c r="Q44" s="83"/>
    </row>
    <row r="45">
      <c r="J45" s="83"/>
      <c r="K45" s="83"/>
      <c r="L45" s="83"/>
      <c r="M45" s="83"/>
      <c r="N45" s="83"/>
      <c r="O45" s="83"/>
      <c r="P45" s="83"/>
      <c r="Q45" s="83"/>
    </row>
    <row r="46">
      <c r="J46" s="83"/>
      <c r="K46" s="83"/>
      <c r="L46" s="83"/>
      <c r="M46" s="83"/>
      <c r="N46" s="83"/>
      <c r="O46" s="83"/>
      <c r="P46" s="83"/>
      <c r="Q46" s="83"/>
    </row>
    <row r="47">
      <c r="J47" s="83"/>
      <c r="K47" s="85"/>
      <c r="L47" s="83"/>
      <c r="M47" s="83"/>
      <c r="N47" s="83"/>
      <c r="O47" s="83"/>
      <c r="P47" s="83"/>
      <c r="Q47" s="83"/>
    </row>
    <row r="48">
      <c r="J48" s="83"/>
      <c r="K48" s="83"/>
      <c r="L48" s="83"/>
      <c r="M48" s="83"/>
      <c r="N48" s="83"/>
      <c r="O48" s="83"/>
      <c r="P48" s="83"/>
      <c r="Q48" s="83"/>
    </row>
    <row r="49">
      <c r="J49" s="83"/>
      <c r="K49" s="83"/>
      <c r="L49" s="83"/>
      <c r="M49" s="83"/>
      <c r="N49" s="83"/>
      <c r="O49" s="83"/>
      <c r="P49" s="83"/>
      <c r="Q49" s="8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5"/>
    <col customWidth="1" min="3" max="3" width="27.75"/>
    <col customWidth="1" min="4" max="5" width="13.88"/>
    <col customWidth="1" min="6" max="6" width="19.88"/>
    <col customWidth="1" min="7" max="7" width="14.88"/>
  </cols>
  <sheetData>
    <row r="3">
      <c r="C3" s="5" t="s">
        <v>12</v>
      </c>
      <c r="D3" s="6" t="s">
        <v>13</v>
      </c>
      <c r="E3" s="6" t="s">
        <v>14</v>
      </c>
      <c r="F3" s="6" t="s">
        <v>15</v>
      </c>
      <c r="G3" s="7" t="s">
        <v>16</v>
      </c>
    </row>
    <row r="4">
      <c r="C4" s="8" t="s">
        <v>17</v>
      </c>
      <c r="D4" s="10">
        <v>6100.0</v>
      </c>
      <c r="E4" s="11">
        <v>7500.0</v>
      </c>
      <c r="F4" s="11">
        <v>8000.0</v>
      </c>
      <c r="G4" s="12">
        <v>10000.0</v>
      </c>
    </row>
    <row r="5">
      <c r="C5" s="13" t="s">
        <v>18</v>
      </c>
      <c r="D5" s="10">
        <v>3000.0</v>
      </c>
      <c r="E5" s="14">
        <v>6000.0</v>
      </c>
      <c r="F5" s="15">
        <f t="shared" ref="F5:F6" si="1">E5</f>
        <v>6000</v>
      </c>
      <c r="G5" s="12">
        <v>6000.0</v>
      </c>
    </row>
    <row r="6">
      <c r="C6" s="13" t="s">
        <v>19</v>
      </c>
      <c r="D6" s="10">
        <v>1700.0</v>
      </c>
      <c r="E6" s="14">
        <v>5000.0</v>
      </c>
      <c r="F6" s="15">
        <f t="shared" si="1"/>
        <v>5000</v>
      </c>
      <c r="G6" s="12">
        <v>5000.0</v>
      </c>
    </row>
    <row r="7">
      <c r="C7" s="8" t="s">
        <v>20</v>
      </c>
      <c r="D7" s="16">
        <v>4000.0</v>
      </c>
      <c r="E7" s="14">
        <v>4000.0</v>
      </c>
      <c r="F7" s="14">
        <v>6000.0</v>
      </c>
      <c r="G7" s="12">
        <v>14000.0</v>
      </c>
    </row>
    <row r="8">
      <c r="C8" s="8" t="s">
        <v>21</v>
      </c>
      <c r="D8" s="16">
        <v>3500.0</v>
      </c>
      <c r="E8" s="15">
        <f t="shared" ref="E8:E9" si="2">D8</f>
        <v>3500</v>
      </c>
      <c r="F8" s="14">
        <v>5000.0</v>
      </c>
      <c r="G8" s="12">
        <v>10000.0</v>
      </c>
    </row>
    <row r="9">
      <c r="C9" s="8" t="s">
        <v>22</v>
      </c>
      <c r="D9" s="16">
        <v>4500.0</v>
      </c>
      <c r="E9" s="15">
        <f t="shared" si="2"/>
        <v>4500</v>
      </c>
      <c r="F9" s="14">
        <v>6500.0</v>
      </c>
      <c r="G9" s="12">
        <v>10000.0</v>
      </c>
    </row>
    <row r="10">
      <c r="C10" s="8" t="s">
        <v>23</v>
      </c>
      <c r="D10" s="16">
        <v>1500.0</v>
      </c>
      <c r="E10" s="14">
        <v>3200.0</v>
      </c>
      <c r="F10" s="14">
        <v>5500.0</v>
      </c>
      <c r="G10" s="12">
        <v>7500.0</v>
      </c>
    </row>
    <row r="11">
      <c r="C11" s="8" t="s">
        <v>24</v>
      </c>
      <c r="D11" s="16">
        <v>5100.0</v>
      </c>
      <c r="E11" s="15">
        <f t="shared" ref="E11:F11" si="3">D11</f>
        <v>5100</v>
      </c>
      <c r="F11" s="15">
        <f t="shared" si="3"/>
        <v>5100</v>
      </c>
      <c r="G11" s="12">
        <v>6000.0</v>
      </c>
    </row>
    <row r="12">
      <c r="C12" s="8" t="s">
        <v>25</v>
      </c>
      <c r="D12" s="16">
        <v>2500.0</v>
      </c>
      <c r="E12" s="14">
        <v>2500.0</v>
      </c>
      <c r="F12" s="14">
        <v>3500.0</v>
      </c>
      <c r="G12" s="12">
        <v>4500.0</v>
      </c>
    </row>
    <row r="13">
      <c r="C13" s="8" t="s">
        <v>26</v>
      </c>
      <c r="D13" s="16">
        <v>2500.0</v>
      </c>
      <c r="E13" s="14">
        <v>2500.0</v>
      </c>
      <c r="F13" s="14">
        <v>3500.0</v>
      </c>
      <c r="G13" s="12">
        <v>4500.0</v>
      </c>
    </row>
    <row r="14">
      <c r="C14" s="8" t="s">
        <v>27</v>
      </c>
      <c r="D14" s="16">
        <v>1000.0</v>
      </c>
      <c r="E14" s="14">
        <v>1500.0</v>
      </c>
      <c r="F14" s="14">
        <v>1500.0</v>
      </c>
      <c r="G14" s="12">
        <v>2000.0</v>
      </c>
    </row>
    <row r="15">
      <c r="C15" s="8" t="s">
        <v>28</v>
      </c>
      <c r="D15" s="16">
        <v>1000.0</v>
      </c>
      <c r="E15" s="14">
        <v>1300.0</v>
      </c>
      <c r="F15" s="14">
        <v>1500.0</v>
      </c>
      <c r="G15" s="12">
        <v>2000.0</v>
      </c>
    </row>
    <row r="16">
      <c r="C16" s="18" t="s">
        <v>29</v>
      </c>
      <c r="D16" s="16">
        <v>1000.0</v>
      </c>
      <c r="E16" s="14">
        <v>1000.0</v>
      </c>
      <c r="F16" s="14">
        <v>1000.0</v>
      </c>
      <c r="G16" s="12">
        <v>1500.0</v>
      </c>
    </row>
    <row r="17">
      <c r="C17" s="20" t="s">
        <v>30</v>
      </c>
      <c r="D17" s="16">
        <v>900.0</v>
      </c>
      <c r="E17" s="14">
        <v>4500.0</v>
      </c>
      <c r="F17" s="14">
        <v>4500.0</v>
      </c>
      <c r="G17" s="12">
        <v>4500.0</v>
      </c>
    </row>
    <row r="18">
      <c r="C18" s="21" t="s">
        <v>31</v>
      </c>
      <c r="D18" s="16">
        <v>0.0</v>
      </c>
      <c r="E18" s="14">
        <v>1000.0</v>
      </c>
      <c r="F18" s="15">
        <f t="shared" ref="F18:G18" si="4">E18</f>
        <v>1000</v>
      </c>
      <c r="G18" s="22">
        <f t="shared" si="4"/>
        <v>1000</v>
      </c>
    </row>
    <row r="19">
      <c r="C19" s="23" t="s">
        <v>32</v>
      </c>
      <c r="D19" s="16">
        <v>0.0</v>
      </c>
      <c r="E19" s="24"/>
      <c r="F19" s="24"/>
      <c r="G19" s="12">
        <v>5000.0</v>
      </c>
    </row>
    <row r="20">
      <c r="C20" s="8" t="s">
        <v>33</v>
      </c>
      <c r="D20" s="16">
        <v>1000.0</v>
      </c>
      <c r="E20" s="14">
        <v>2000.0</v>
      </c>
      <c r="F20" s="14">
        <v>3000.0</v>
      </c>
      <c r="G20" s="12">
        <v>5000.0</v>
      </c>
    </row>
    <row r="21">
      <c r="C21" s="8" t="s">
        <v>34</v>
      </c>
      <c r="D21" s="16">
        <v>1000.0</v>
      </c>
      <c r="E21" s="14">
        <v>2000.0</v>
      </c>
      <c r="F21" s="14">
        <v>2000.0</v>
      </c>
      <c r="G21" s="12">
        <v>2000.0</v>
      </c>
    </row>
    <row r="22">
      <c r="C22" s="8" t="s">
        <v>35</v>
      </c>
      <c r="D22" s="16">
        <v>1000.0</v>
      </c>
      <c r="E22" s="14">
        <v>1500.0</v>
      </c>
      <c r="F22" s="14">
        <v>2000.0</v>
      </c>
      <c r="G22" s="12">
        <v>3000.0</v>
      </c>
    </row>
    <row r="23">
      <c r="C23" s="25" t="s">
        <v>36</v>
      </c>
      <c r="D23" s="16">
        <v>1500.0</v>
      </c>
      <c r="E23" s="14">
        <v>1000.0</v>
      </c>
      <c r="F23" s="14">
        <v>1000.0</v>
      </c>
      <c r="G23" s="12">
        <v>1000.0</v>
      </c>
    </row>
    <row r="24">
      <c r="C24" s="26" t="s">
        <v>37</v>
      </c>
      <c r="D24" s="10">
        <v>2500.0</v>
      </c>
      <c r="E24" s="24"/>
      <c r="F24" s="24"/>
      <c r="G24" s="27"/>
    </row>
    <row r="25">
      <c r="C25" s="28"/>
      <c r="D25" s="29"/>
      <c r="E25" s="30"/>
      <c r="F25" s="30"/>
      <c r="G25" s="31"/>
    </row>
    <row r="26">
      <c r="C26" s="32" t="s">
        <v>38</v>
      </c>
      <c r="D26" s="49">
        <f t="shared" ref="D26:G26" si="5">SUM(D4:D25)</f>
        <v>45300</v>
      </c>
      <c r="E26" s="49">
        <f t="shared" si="5"/>
        <v>59600</v>
      </c>
      <c r="F26" s="49">
        <f t="shared" si="5"/>
        <v>71600</v>
      </c>
      <c r="G26" s="49">
        <f t="shared" si="5"/>
        <v>104500</v>
      </c>
    </row>
    <row r="30">
      <c r="B30" s="52" t="s">
        <v>48</v>
      </c>
      <c r="C30" s="53" t="s">
        <v>51</v>
      </c>
      <c r="D30" s="53" t="s">
        <v>53</v>
      </c>
      <c r="E30" s="53" t="s">
        <v>55</v>
      </c>
      <c r="F30" s="53" t="s">
        <v>56</v>
      </c>
      <c r="G30" s="54" t="s">
        <v>58</v>
      </c>
    </row>
    <row r="31">
      <c r="B31" s="55" t="s">
        <v>49</v>
      </c>
      <c r="C31" s="44" t="s">
        <v>61</v>
      </c>
      <c r="D31" s="44" t="s">
        <v>20</v>
      </c>
      <c r="E31" s="44">
        <v>4000.0</v>
      </c>
      <c r="F31" s="56"/>
      <c r="G31" s="57"/>
    </row>
    <row r="32">
      <c r="B32" s="55" t="s">
        <v>49</v>
      </c>
      <c r="C32" s="44" t="s">
        <v>63</v>
      </c>
      <c r="D32" s="44" t="s">
        <v>18</v>
      </c>
      <c r="E32" s="44">
        <v>6000.0</v>
      </c>
      <c r="F32" s="46">
        <f>2626.25</f>
        <v>2626.25</v>
      </c>
      <c r="G32" s="57"/>
    </row>
    <row r="33">
      <c r="B33" s="55" t="s">
        <v>49</v>
      </c>
      <c r="C33" s="44" t="s">
        <v>63</v>
      </c>
      <c r="D33" s="44" t="s">
        <v>17</v>
      </c>
      <c r="E33" s="44">
        <v>7500.0</v>
      </c>
      <c r="F33" s="44">
        <v>425.0</v>
      </c>
      <c r="G33" s="63">
        <v>510.0</v>
      </c>
    </row>
    <row r="34">
      <c r="B34" s="55" t="s">
        <v>49</v>
      </c>
      <c r="C34" s="44" t="s">
        <v>65</v>
      </c>
      <c r="D34" s="44" t="s">
        <v>66</v>
      </c>
      <c r="E34" s="44">
        <v>5000.0</v>
      </c>
      <c r="F34" s="46">
        <f>2875</f>
        <v>2875</v>
      </c>
      <c r="G34" s="66">
        <f>3010</f>
        <v>3010</v>
      </c>
    </row>
    <row r="35">
      <c r="B35" s="55" t="s">
        <v>49</v>
      </c>
      <c r="C35" s="44" t="s">
        <v>61</v>
      </c>
      <c r="D35" s="44" t="s">
        <v>21</v>
      </c>
      <c r="E35" s="44">
        <v>3500.0</v>
      </c>
      <c r="F35" s="56"/>
      <c r="G35" s="57"/>
    </row>
    <row r="36">
      <c r="B36" s="55" t="s">
        <v>67</v>
      </c>
      <c r="C36" s="44" t="s">
        <v>63</v>
      </c>
      <c r="D36" s="44" t="s">
        <v>23</v>
      </c>
      <c r="E36" s="46">
        <f>3200</f>
        <v>3200</v>
      </c>
      <c r="F36" s="56"/>
      <c r="G36" s="63">
        <v>2397.0</v>
      </c>
    </row>
    <row r="37">
      <c r="B37" s="55" t="s">
        <v>49</v>
      </c>
      <c r="C37" s="44" t="s">
        <v>63</v>
      </c>
      <c r="D37" s="44" t="s">
        <v>70</v>
      </c>
      <c r="E37" s="44">
        <v>600.0</v>
      </c>
      <c r="F37" s="56"/>
      <c r="G37" s="57"/>
    </row>
    <row r="38">
      <c r="B38" s="55" t="s">
        <v>49</v>
      </c>
      <c r="C38" s="39" t="s">
        <v>65</v>
      </c>
      <c r="D38" s="44" t="s">
        <v>72</v>
      </c>
      <c r="E38" s="44">
        <v>5100.0</v>
      </c>
      <c r="F38" s="56"/>
      <c r="G38" s="57"/>
    </row>
    <row r="39">
      <c r="B39" s="55" t="s">
        <v>49</v>
      </c>
      <c r="C39" s="39" t="s">
        <v>65</v>
      </c>
      <c r="D39" s="44" t="s">
        <v>25</v>
      </c>
      <c r="E39" s="44">
        <v>2500.0</v>
      </c>
      <c r="F39" s="56"/>
      <c r="G39" s="57"/>
    </row>
    <row r="40">
      <c r="B40" s="55" t="s">
        <v>49</v>
      </c>
      <c r="C40" s="44" t="s">
        <v>61</v>
      </c>
      <c r="D40" s="44" t="s">
        <v>73</v>
      </c>
      <c r="E40" s="44">
        <v>4500.0</v>
      </c>
      <c r="F40" s="56"/>
      <c r="G40" s="57"/>
    </row>
    <row r="41">
      <c r="B41" s="55" t="s">
        <v>49</v>
      </c>
      <c r="C41" s="39" t="s">
        <v>65</v>
      </c>
      <c r="D41" s="44" t="s">
        <v>74</v>
      </c>
      <c r="E41" s="44">
        <v>1500.0</v>
      </c>
      <c r="F41" s="56"/>
      <c r="G41" s="57"/>
    </row>
    <row r="42">
      <c r="B42" s="55" t="s">
        <v>49</v>
      </c>
      <c r="C42" s="44" t="s">
        <v>63</v>
      </c>
      <c r="D42" s="44" t="s">
        <v>34</v>
      </c>
      <c r="E42" s="44">
        <v>1000.0</v>
      </c>
      <c r="F42" s="56"/>
      <c r="G42" s="57"/>
    </row>
    <row r="43">
      <c r="B43" s="55" t="s">
        <v>49</v>
      </c>
      <c r="C43" s="39" t="s">
        <v>75</v>
      </c>
      <c r="D43" s="44" t="s">
        <v>76</v>
      </c>
      <c r="E43" s="44">
        <v>1300.0</v>
      </c>
      <c r="F43" s="56"/>
      <c r="G43" s="57"/>
    </row>
    <row r="44">
      <c r="B44" s="55" t="s">
        <v>49</v>
      </c>
      <c r="C44" s="44" t="s">
        <v>61</v>
      </c>
      <c r="D44" s="44" t="s">
        <v>30</v>
      </c>
      <c r="E44" s="44">
        <v>900.0</v>
      </c>
      <c r="F44" s="56"/>
      <c r="G44" s="57"/>
    </row>
    <row r="45">
      <c r="B45" s="55" t="s">
        <v>49</v>
      </c>
      <c r="C45" s="44" t="s">
        <v>78</v>
      </c>
      <c r="D45" s="44" t="s">
        <v>35</v>
      </c>
      <c r="E45" s="44"/>
      <c r="F45" s="56"/>
      <c r="G45" s="57"/>
    </row>
    <row r="46">
      <c r="B46" s="55" t="s">
        <v>49</v>
      </c>
      <c r="C46" s="39" t="s">
        <v>78</v>
      </c>
      <c r="D46" s="44" t="s">
        <v>79</v>
      </c>
      <c r="E46" s="44">
        <v>3000.0</v>
      </c>
      <c r="F46" s="56"/>
      <c r="G46" s="57"/>
    </row>
    <row r="47">
      <c r="B47" s="55" t="s">
        <v>49</v>
      </c>
      <c r="C47" s="39" t="s">
        <v>78</v>
      </c>
      <c r="D47" s="44" t="s">
        <v>81</v>
      </c>
      <c r="E47" s="44">
        <v>1500.0</v>
      </c>
      <c r="F47" s="56"/>
      <c r="G47" s="57"/>
    </row>
    <row r="48">
      <c r="B48" s="55" t="s">
        <v>49</v>
      </c>
      <c r="C48" s="39" t="s">
        <v>78</v>
      </c>
      <c r="D48" s="44" t="s">
        <v>26</v>
      </c>
      <c r="E48" s="44">
        <v>4000.0</v>
      </c>
      <c r="F48" s="56"/>
      <c r="G48" s="57"/>
    </row>
    <row r="49">
      <c r="B49" s="55" t="s">
        <v>49</v>
      </c>
      <c r="C49" s="39" t="s">
        <v>78</v>
      </c>
      <c r="D49" s="44" t="s">
        <v>83</v>
      </c>
      <c r="E49" s="44">
        <v>1300.0</v>
      </c>
      <c r="F49" s="56"/>
      <c r="G49" s="57"/>
    </row>
    <row r="50">
      <c r="B50" s="55" t="s">
        <v>84</v>
      </c>
      <c r="C50" s="39" t="s">
        <v>78</v>
      </c>
      <c r="D50" s="39" t="s">
        <v>85</v>
      </c>
      <c r="E50" s="44">
        <v>2500.0</v>
      </c>
      <c r="F50" s="56"/>
      <c r="G50" s="57"/>
    </row>
    <row r="51">
      <c r="B51" s="55" t="s">
        <v>84</v>
      </c>
      <c r="C51" s="39" t="s">
        <v>86</v>
      </c>
      <c r="D51" s="39" t="s">
        <v>87</v>
      </c>
      <c r="E51" s="44">
        <v>1600.0</v>
      </c>
      <c r="F51" s="56"/>
      <c r="G51" s="57"/>
    </row>
    <row r="52">
      <c r="B52" s="55" t="s">
        <v>84</v>
      </c>
      <c r="C52" s="39" t="s">
        <v>86</v>
      </c>
      <c r="D52" s="44" t="s">
        <v>88</v>
      </c>
      <c r="E52" s="44">
        <v>1600.0</v>
      </c>
      <c r="F52" s="56"/>
      <c r="G52" s="71"/>
    </row>
    <row r="53">
      <c r="B53" s="55" t="s">
        <v>84</v>
      </c>
      <c r="C53" s="39" t="s">
        <v>86</v>
      </c>
      <c r="D53" s="44" t="s">
        <v>89</v>
      </c>
      <c r="E53" s="44">
        <v>1600.0</v>
      </c>
      <c r="F53" s="56"/>
      <c r="G53" s="71"/>
    </row>
    <row r="54">
      <c r="B54" s="55" t="s">
        <v>84</v>
      </c>
      <c r="C54" s="39" t="s">
        <v>86</v>
      </c>
      <c r="D54" s="39" t="s">
        <v>91</v>
      </c>
      <c r="E54" s="44">
        <v>2200.0</v>
      </c>
      <c r="F54" s="56"/>
      <c r="G54" s="71"/>
    </row>
    <row r="55">
      <c r="B55" s="74"/>
      <c r="C55" s="75"/>
      <c r="D55" s="76" t="s">
        <v>38</v>
      </c>
      <c r="E55" s="79">
        <f>SUM(E31:E54)</f>
        <v>65900</v>
      </c>
      <c r="F55" s="75"/>
      <c r="G55" s="8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9.25"/>
    <col customWidth="1" min="3" max="3" width="18.0"/>
    <col customWidth="1" min="6" max="6" width="22.25"/>
  </cols>
  <sheetData>
    <row r="2">
      <c r="B2" s="33"/>
      <c r="C2" s="33"/>
      <c r="E2" s="34"/>
      <c r="F2" s="35" t="s">
        <v>39</v>
      </c>
      <c r="G2" s="36" t="s">
        <v>0</v>
      </c>
      <c r="H2" s="36" t="s">
        <v>1</v>
      </c>
      <c r="I2" s="36" t="s">
        <v>2</v>
      </c>
      <c r="J2" s="36" t="s">
        <v>3</v>
      </c>
      <c r="K2" s="36" t="s">
        <v>4</v>
      </c>
      <c r="L2" s="36" t="s">
        <v>5</v>
      </c>
      <c r="M2" s="36" t="s">
        <v>6</v>
      </c>
      <c r="N2" s="36" t="s">
        <v>7</v>
      </c>
      <c r="O2" s="36" t="s">
        <v>8</v>
      </c>
      <c r="P2" s="36" t="s">
        <v>9</v>
      </c>
      <c r="Q2" s="36" t="s">
        <v>10</v>
      </c>
      <c r="R2" s="36" t="s">
        <v>11</v>
      </c>
    </row>
    <row r="3">
      <c r="B3" s="33"/>
      <c r="C3" s="33"/>
      <c r="E3" s="37" t="s">
        <v>20</v>
      </c>
      <c r="F3" s="35" t="s">
        <v>38</v>
      </c>
      <c r="G3" s="41">
        <f t="shared" ref="G3:R3" si="1">SUM(G4:G11)</f>
        <v>4500</v>
      </c>
      <c r="H3" s="41">
        <f t="shared" si="1"/>
        <v>4000</v>
      </c>
      <c r="I3" s="41">
        <f t="shared" si="1"/>
        <v>4400</v>
      </c>
      <c r="J3" s="41">
        <f t="shared" si="1"/>
        <v>4000</v>
      </c>
      <c r="K3" s="41">
        <f t="shared" si="1"/>
        <v>4000</v>
      </c>
      <c r="L3" s="41">
        <f t="shared" si="1"/>
        <v>4000</v>
      </c>
      <c r="M3" s="41">
        <f t="shared" si="1"/>
        <v>5000</v>
      </c>
      <c r="N3" s="41">
        <f t="shared" si="1"/>
        <v>5000</v>
      </c>
      <c r="O3" s="41">
        <f t="shared" si="1"/>
        <v>0</v>
      </c>
      <c r="P3" s="41">
        <f t="shared" si="1"/>
        <v>0</v>
      </c>
      <c r="Q3" s="41">
        <f t="shared" si="1"/>
        <v>0</v>
      </c>
      <c r="R3" s="41">
        <f t="shared" si="1"/>
        <v>0</v>
      </c>
    </row>
    <row r="4">
      <c r="B4" s="33"/>
      <c r="C4" s="43"/>
      <c r="F4" s="33" t="s">
        <v>42</v>
      </c>
      <c r="G4" s="45"/>
      <c r="H4" s="45"/>
      <c r="I4" s="43"/>
      <c r="J4" s="45"/>
      <c r="K4" s="45"/>
      <c r="L4" s="43"/>
      <c r="M4" s="45"/>
      <c r="N4" s="45"/>
      <c r="O4" s="48"/>
      <c r="P4" s="48"/>
      <c r="Q4" s="48"/>
      <c r="R4" s="48"/>
    </row>
    <row r="5">
      <c r="B5" s="33"/>
      <c r="C5" s="33"/>
      <c r="F5" s="50" t="s">
        <v>44</v>
      </c>
      <c r="G5" s="45">
        <f>500</f>
        <v>500</v>
      </c>
      <c r="H5" s="43"/>
      <c r="I5" s="43">
        <f>400</f>
        <v>400</v>
      </c>
      <c r="J5" s="43"/>
      <c r="K5" s="43"/>
      <c r="L5" s="43"/>
      <c r="M5" s="43"/>
      <c r="N5" s="43"/>
      <c r="O5" s="43"/>
      <c r="P5" s="43"/>
      <c r="Q5" s="43"/>
      <c r="R5" s="43"/>
    </row>
    <row r="6">
      <c r="B6" s="33"/>
      <c r="C6" s="33"/>
      <c r="F6" s="50" t="s">
        <v>50</v>
      </c>
      <c r="G6" s="45"/>
      <c r="H6" s="45"/>
      <c r="I6" s="45"/>
      <c r="J6" s="43"/>
      <c r="K6" s="45"/>
      <c r="L6" s="45"/>
      <c r="M6" s="45"/>
      <c r="N6" s="45"/>
      <c r="O6" s="48"/>
      <c r="P6" s="43"/>
      <c r="Q6" s="43"/>
      <c r="R6" s="43"/>
    </row>
    <row r="7">
      <c r="F7" s="33" t="s">
        <v>52</v>
      </c>
      <c r="G7" s="43"/>
      <c r="H7" s="45"/>
      <c r="I7" s="43"/>
      <c r="J7" s="43"/>
      <c r="K7" s="43"/>
      <c r="L7" s="43"/>
      <c r="M7" s="43"/>
      <c r="N7" s="43"/>
      <c r="O7" s="43"/>
      <c r="P7" s="43"/>
      <c r="Q7" s="43"/>
      <c r="R7" s="43"/>
    </row>
    <row r="8">
      <c r="F8" s="33" t="s">
        <v>57</v>
      </c>
      <c r="G8" s="45"/>
      <c r="H8" s="45"/>
      <c r="I8" s="45"/>
      <c r="J8" s="45"/>
      <c r="K8" s="43"/>
      <c r="L8" s="43"/>
      <c r="M8" s="43"/>
      <c r="N8" s="45"/>
      <c r="O8" s="48"/>
      <c r="P8" s="43"/>
      <c r="Q8" s="43"/>
      <c r="R8" s="43"/>
    </row>
    <row r="9">
      <c r="F9" s="33" t="s">
        <v>60</v>
      </c>
      <c r="G9" s="45"/>
      <c r="H9" s="45"/>
      <c r="I9" s="45"/>
      <c r="J9" s="45"/>
      <c r="K9" s="45"/>
      <c r="L9" s="45"/>
      <c r="M9" s="45"/>
      <c r="N9" s="45"/>
      <c r="O9" s="45"/>
      <c r="P9" s="43"/>
      <c r="Q9" s="43"/>
      <c r="R9" s="43"/>
    </row>
    <row r="10">
      <c r="F10" s="50" t="s">
        <v>59</v>
      </c>
      <c r="G10" s="43">
        <v>500.0</v>
      </c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</row>
    <row r="11">
      <c r="F11" s="50" t="s">
        <v>55</v>
      </c>
      <c r="G11" s="43">
        <v>3500.0</v>
      </c>
      <c r="H11" s="43">
        <v>4000.0</v>
      </c>
      <c r="I11" s="43">
        <v>4000.0</v>
      </c>
      <c r="J11" s="43">
        <v>4000.0</v>
      </c>
      <c r="K11" s="43">
        <v>4000.0</v>
      </c>
      <c r="L11" s="43">
        <v>4000.0</v>
      </c>
      <c r="M11" s="43">
        <v>5000.0</v>
      </c>
      <c r="N11" s="43">
        <v>5000.0</v>
      </c>
      <c r="O11" s="43"/>
      <c r="P11" s="43"/>
      <c r="Q11" s="43"/>
      <c r="R11" s="43"/>
    </row>
    <row r="12">
      <c r="E12" s="61"/>
      <c r="F12" s="62" t="s">
        <v>64</v>
      </c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</row>
    <row r="13">
      <c r="E13" s="37" t="s">
        <v>18</v>
      </c>
      <c r="F13" s="33" t="s">
        <v>38</v>
      </c>
      <c r="G13" s="41">
        <f t="shared" ref="G13:R13" si="2">SUM(G14:G22)</f>
        <v>5298.66</v>
      </c>
      <c r="H13" s="41">
        <f t="shared" si="2"/>
        <v>4894.23</v>
      </c>
      <c r="I13" s="41">
        <f t="shared" si="2"/>
        <v>8804.95</v>
      </c>
      <c r="J13" s="41">
        <f t="shared" si="2"/>
        <v>6626.45</v>
      </c>
      <c r="K13" s="41">
        <f t="shared" si="2"/>
        <v>11130.7</v>
      </c>
      <c r="L13" s="41">
        <f t="shared" si="2"/>
        <v>8698.7</v>
      </c>
      <c r="M13" s="41">
        <f t="shared" si="2"/>
        <v>8770.7</v>
      </c>
      <c r="N13" s="41">
        <f t="shared" si="2"/>
        <v>11300.7</v>
      </c>
      <c r="O13" s="41">
        <f t="shared" si="2"/>
        <v>0</v>
      </c>
      <c r="P13" s="41">
        <f t="shared" si="2"/>
        <v>0</v>
      </c>
      <c r="Q13" s="41">
        <f t="shared" si="2"/>
        <v>0</v>
      </c>
      <c r="R13" s="41">
        <f t="shared" si="2"/>
        <v>0</v>
      </c>
    </row>
    <row r="14">
      <c r="F14" s="50" t="s">
        <v>69</v>
      </c>
      <c r="G14" s="45">
        <f>283.33+266.66+198.34+190+150+198+207+150+627+183.33+225+100+150+90+200+252+198+130+300</f>
        <v>4098.66</v>
      </c>
      <c r="H14" s="45"/>
      <c r="I14" s="45">
        <f>1895.75</f>
        <v>1895.75</v>
      </c>
      <c r="J14" s="45">
        <f>I14</f>
        <v>1895.75</v>
      </c>
      <c r="K14" s="43">
        <f>6400</f>
        <v>6400</v>
      </c>
      <c r="L14" s="45">
        <f>4968</f>
        <v>4968</v>
      </c>
      <c r="M14" s="43">
        <f>5040</f>
        <v>5040</v>
      </c>
      <c r="N14" s="45">
        <f>(9200+2700+20000+13000+10800+8000+6000+6000)*10%</f>
        <v>7570</v>
      </c>
      <c r="O14" s="45"/>
      <c r="P14" s="45"/>
      <c r="Q14" s="45"/>
      <c r="R14" s="43"/>
    </row>
    <row r="15">
      <c r="B15" s="72"/>
      <c r="F15" s="50" t="s">
        <v>90</v>
      </c>
      <c r="G15" s="45"/>
      <c r="H15" s="45"/>
      <c r="I15" s="45">
        <f>2178.5</f>
        <v>2178.5</v>
      </c>
      <c r="J15" s="43"/>
      <c r="K15" s="43"/>
      <c r="L15" s="43"/>
      <c r="M15" s="43"/>
      <c r="N15" s="43"/>
      <c r="O15" s="45"/>
      <c r="P15" s="48"/>
      <c r="Q15" s="45"/>
      <c r="R15" s="43"/>
    </row>
    <row r="16">
      <c r="B16" s="77"/>
      <c r="F16" s="50" t="s">
        <v>92</v>
      </c>
      <c r="G16" s="45"/>
      <c r="H16" s="45"/>
      <c r="I16" s="45"/>
      <c r="J16" s="45"/>
      <c r="K16" s="45"/>
      <c r="L16" s="45"/>
      <c r="M16" s="45"/>
      <c r="N16" s="43"/>
      <c r="O16" s="43"/>
      <c r="P16" s="45"/>
      <c r="Q16" s="43"/>
      <c r="R16" s="43"/>
    </row>
    <row r="17">
      <c r="B17" s="72"/>
      <c r="F17" s="50" t="s">
        <v>93</v>
      </c>
      <c r="G17" s="43">
        <v>1000.0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</row>
    <row r="18">
      <c r="B18" s="72"/>
      <c r="F18" s="50" t="s">
        <v>94</v>
      </c>
      <c r="G18" s="45"/>
      <c r="H18" s="43">
        <v>894.23</v>
      </c>
      <c r="I18" s="43">
        <f>730.7</f>
        <v>730.7</v>
      </c>
      <c r="J18" s="45">
        <f t="shared" ref="J18:K18" si="3">I18</f>
        <v>730.7</v>
      </c>
      <c r="K18" s="45">
        <f t="shared" si="3"/>
        <v>730.7</v>
      </c>
      <c r="L18" s="43">
        <v>730.7</v>
      </c>
      <c r="M18" s="43">
        <v>730.7</v>
      </c>
      <c r="N18" s="43">
        <v>730.7</v>
      </c>
      <c r="O18" s="45"/>
      <c r="P18" s="45"/>
      <c r="Q18" s="45"/>
      <c r="R18" s="43"/>
    </row>
    <row r="19">
      <c r="B19" s="83"/>
      <c r="F19" s="33" t="s">
        <v>60</v>
      </c>
      <c r="G19" s="45"/>
      <c r="H19" s="45"/>
      <c r="I19" s="45"/>
      <c r="J19" s="45"/>
      <c r="K19" s="45"/>
      <c r="L19" s="43"/>
      <c r="M19" s="45"/>
      <c r="N19" s="45"/>
      <c r="O19" s="45"/>
      <c r="P19" s="45"/>
      <c r="Q19" s="45"/>
      <c r="R19" s="43"/>
    </row>
    <row r="20">
      <c r="B20" s="83"/>
      <c r="F20" s="33" t="s">
        <v>95</v>
      </c>
      <c r="G20" s="45"/>
      <c r="H20" s="45"/>
      <c r="I20" s="45"/>
      <c r="J20" s="45"/>
      <c r="K20" s="43"/>
      <c r="L20" s="45"/>
      <c r="M20" s="45"/>
      <c r="N20" s="45"/>
      <c r="O20" s="45"/>
      <c r="P20" s="45"/>
      <c r="Q20" s="45"/>
      <c r="R20" s="43"/>
    </row>
    <row r="21">
      <c r="F21" s="50" t="s">
        <v>55</v>
      </c>
      <c r="G21" s="43">
        <v>2200.0</v>
      </c>
      <c r="H21" s="43">
        <v>6000.0</v>
      </c>
      <c r="I21" s="43">
        <v>6000.0</v>
      </c>
      <c r="J21" s="43">
        <v>6000.0</v>
      </c>
      <c r="K21" s="43">
        <v>6000.0</v>
      </c>
      <c r="L21" s="43">
        <v>5000.0</v>
      </c>
      <c r="M21" s="43">
        <v>5000.0</v>
      </c>
      <c r="N21" s="43">
        <v>5000.0</v>
      </c>
      <c r="O21" s="43"/>
      <c r="P21" s="43"/>
      <c r="Q21" s="43"/>
      <c r="R21" s="43"/>
    </row>
    <row r="22">
      <c r="E22" s="61"/>
      <c r="F22" s="62" t="s">
        <v>64</v>
      </c>
      <c r="G22" s="84">
        <v>-2000.0</v>
      </c>
      <c r="H22" s="84">
        <v>-2000.0</v>
      </c>
      <c r="I22" s="84">
        <v>-2000.0</v>
      </c>
      <c r="J22" s="84">
        <v>-2000.0</v>
      </c>
      <c r="K22" s="84">
        <v>-2000.0</v>
      </c>
      <c r="L22" s="84">
        <v>-2000.0</v>
      </c>
      <c r="M22" s="84">
        <v>-2000.0</v>
      </c>
      <c r="N22" s="84">
        <v>-2000.0</v>
      </c>
      <c r="O22" s="64"/>
      <c r="P22" s="84"/>
      <c r="Q22" s="64"/>
      <c r="R22" s="84"/>
    </row>
    <row r="23">
      <c r="E23" s="37" t="s">
        <v>17</v>
      </c>
      <c r="F23" s="33" t="s">
        <v>38</v>
      </c>
      <c r="G23" s="41">
        <f t="shared" ref="G23:R23" si="4">SUM(G24:G31)</f>
        <v>7700</v>
      </c>
      <c r="H23" s="41">
        <f t="shared" si="4"/>
        <v>7500</v>
      </c>
      <c r="I23" s="41">
        <f t="shared" si="4"/>
        <v>11401.5</v>
      </c>
      <c r="J23" s="41">
        <f t="shared" si="4"/>
        <v>7500</v>
      </c>
      <c r="K23" s="41">
        <f t="shared" si="4"/>
        <v>7500</v>
      </c>
      <c r="L23" s="41">
        <f t="shared" si="4"/>
        <v>7500</v>
      </c>
      <c r="M23" s="41">
        <f t="shared" si="4"/>
        <v>7500</v>
      </c>
      <c r="N23" s="41">
        <f t="shared" si="4"/>
        <v>7500</v>
      </c>
      <c r="O23" s="41">
        <f t="shared" si="4"/>
        <v>0</v>
      </c>
      <c r="P23" s="41">
        <f t="shared" si="4"/>
        <v>0</v>
      </c>
      <c r="Q23" s="41">
        <f t="shared" si="4"/>
        <v>0</v>
      </c>
      <c r="R23" s="41">
        <f t="shared" si="4"/>
        <v>0</v>
      </c>
    </row>
    <row r="24">
      <c r="F24" s="50" t="s">
        <v>49</v>
      </c>
      <c r="G24" s="43"/>
      <c r="H24" s="45"/>
      <c r="I24" s="45"/>
      <c r="J24" s="45"/>
      <c r="K24" s="45"/>
      <c r="L24" s="45"/>
      <c r="M24" s="45"/>
      <c r="N24" s="45"/>
      <c r="O24" s="43"/>
      <c r="P24" s="43"/>
      <c r="Q24" s="46"/>
      <c r="R24" s="46"/>
    </row>
    <row r="25">
      <c r="F25" s="50" t="s">
        <v>98</v>
      </c>
      <c r="G25" s="45"/>
      <c r="H25" s="45"/>
      <c r="I25" s="45">
        <f>32500*5%+2276.5</f>
        <v>3901.5</v>
      </c>
      <c r="J25" s="45"/>
      <c r="K25" s="45"/>
      <c r="L25" s="45"/>
      <c r="M25" s="43"/>
      <c r="N25" s="87"/>
      <c r="O25" s="43"/>
      <c r="P25" s="48"/>
      <c r="Q25" s="46"/>
      <c r="R25" s="46"/>
    </row>
    <row r="26">
      <c r="F26" s="50" t="s">
        <v>99</v>
      </c>
      <c r="G26" s="43">
        <v>2500.0</v>
      </c>
      <c r="H26" s="43"/>
      <c r="I26" s="43"/>
      <c r="J26" s="43"/>
      <c r="K26" s="43"/>
      <c r="L26" s="43"/>
      <c r="M26" s="43"/>
      <c r="N26" s="43"/>
      <c r="O26" s="43"/>
      <c r="P26" s="43"/>
      <c r="Q26" s="44"/>
      <c r="R26" s="44"/>
    </row>
    <row r="27">
      <c r="F27" s="33" t="s">
        <v>52</v>
      </c>
      <c r="G27" s="43">
        <f>500+200</f>
        <v>700</v>
      </c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4"/>
    </row>
    <row r="28">
      <c r="F28" s="33" t="s">
        <v>57</v>
      </c>
      <c r="G28" s="43"/>
      <c r="H28" s="45"/>
      <c r="I28" s="45"/>
      <c r="J28" s="45"/>
      <c r="K28" s="43"/>
      <c r="L28" s="43"/>
      <c r="M28" s="45"/>
      <c r="N28" s="43"/>
      <c r="O28" s="43"/>
      <c r="P28" s="43"/>
      <c r="Q28" s="46"/>
      <c r="R28" s="46"/>
    </row>
    <row r="29">
      <c r="F29" s="50" t="s">
        <v>80</v>
      </c>
      <c r="G29" s="45"/>
      <c r="H29" s="45"/>
      <c r="I29" s="45"/>
      <c r="J29" s="43"/>
      <c r="K29" s="45"/>
      <c r="L29" s="45"/>
      <c r="M29" s="45"/>
      <c r="N29" s="45"/>
      <c r="O29" s="45"/>
      <c r="P29" s="43"/>
      <c r="Q29" s="46"/>
      <c r="R29" s="46"/>
    </row>
    <row r="30">
      <c r="F30" s="50" t="s">
        <v>100</v>
      </c>
      <c r="G30" s="43">
        <v>4500.0</v>
      </c>
      <c r="H30" s="45"/>
      <c r="I30" s="45"/>
      <c r="J30" s="45"/>
      <c r="K30" s="45"/>
      <c r="L30" s="45"/>
      <c r="M30" s="45"/>
      <c r="N30" s="45"/>
      <c r="O30" s="45"/>
      <c r="P30" s="45"/>
      <c r="Q30" s="46"/>
      <c r="R30" s="46"/>
    </row>
    <row r="31">
      <c r="F31" s="50" t="s">
        <v>55</v>
      </c>
      <c r="G31" s="43"/>
      <c r="H31" s="43">
        <v>7500.0</v>
      </c>
      <c r="I31" s="43">
        <v>7500.0</v>
      </c>
      <c r="J31" s="43">
        <v>7500.0</v>
      </c>
      <c r="K31" s="43">
        <v>7500.0</v>
      </c>
      <c r="L31" s="43">
        <v>7500.0</v>
      </c>
      <c r="M31" s="43">
        <v>7500.0</v>
      </c>
      <c r="N31" s="43">
        <v>7500.0</v>
      </c>
      <c r="O31" s="43"/>
      <c r="P31" s="43"/>
      <c r="Q31" s="43"/>
      <c r="R31" s="43"/>
    </row>
    <row r="32">
      <c r="E32" s="61"/>
      <c r="F32" s="62" t="s">
        <v>64</v>
      </c>
      <c r="G32" s="84"/>
      <c r="H32" s="84"/>
      <c r="I32" s="84"/>
      <c r="J32" s="84"/>
      <c r="K32" s="84"/>
      <c r="L32" s="84"/>
      <c r="M32" s="64"/>
      <c r="N32" s="64"/>
      <c r="O32" s="64"/>
      <c r="P32" s="64"/>
      <c r="Q32" s="64"/>
      <c r="R32" s="64"/>
    </row>
    <row r="33">
      <c r="E33" s="37" t="s">
        <v>66</v>
      </c>
      <c r="F33" s="33" t="s">
        <v>38</v>
      </c>
      <c r="G33" s="41">
        <f t="shared" ref="G33:K33" si="5">SUM(G34:G41)</f>
        <v>5893</v>
      </c>
      <c r="H33" s="41">
        <f t="shared" si="5"/>
        <v>5865.5</v>
      </c>
      <c r="I33" s="41">
        <f t="shared" si="5"/>
        <v>7340.5</v>
      </c>
      <c r="J33" s="41">
        <f t="shared" si="5"/>
        <v>10885</v>
      </c>
      <c r="K33" s="41">
        <f t="shared" si="5"/>
        <v>9495</v>
      </c>
      <c r="L33" s="41">
        <f t="shared" ref="L33:R33" si="6">SUM(L34:L42)</f>
        <v>8745</v>
      </c>
      <c r="M33" s="41">
        <f t="shared" si="6"/>
        <v>10484</v>
      </c>
      <c r="N33" s="41">
        <f t="shared" si="6"/>
        <v>8868.6</v>
      </c>
      <c r="O33" s="41">
        <f t="shared" si="6"/>
        <v>0</v>
      </c>
      <c r="P33" s="41">
        <f t="shared" si="6"/>
        <v>0</v>
      </c>
      <c r="Q33" s="41">
        <f t="shared" si="6"/>
        <v>0</v>
      </c>
      <c r="R33" s="41">
        <f t="shared" si="6"/>
        <v>0</v>
      </c>
    </row>
    <row r="34">
      <c r="F34" s="50" t="s">
        <v>69</v>
      </c>
      <c r="G34" s="43">
        <f>117+160+150+84+125+86+207+255+150+125+154+260+156+192+125+130+195+176+100+175+166+130+100+100</f>
        <v>3618</v>
      </c>
      <c r="H34" s="45"/>
      <c r="I34" s="45">
        <f>500+135</f>
        <v>635</v>
      </c>
      <c r="J34" s="45">
        <f>1700+750+425</f>
        <v>2875</v>
      </c>
      <c r="K34" s="45">
        <f>1700+700+735+360+400+600</f>
        <v>4495</v>
      </c>
      <c r="L34" s="45">
        <f>1700+750+500+360+195+240</f>
        <v>3745</v>
      </c>
      <c r="M34" s="43">
        <f>1700+780+540+680+680+400+704</f>
        <v>5484</v>
      </c>
      <c r="N34" s="45">
        <f>1700+2168.6</f>
        <v>3868.6</v>
      </c>
      <c r="O34" s="45"/>
      <c r="P34" s="45"/>
      <c r="Q34" s="46"/>
      <c r="R34" s="46"/>
    </row>
    <row r="35">
      <c r="F35" s="33" t="s">
        <v>92</v>
      </c>
      <c r="G35" s="45"/>
      <c r="H35" s="45"/>
      <c r="I35" s="45"/>
      <c r="J35" s="43"/>
      <c r="K35" s="43"/>
      <c r="L35" s="43"/>
      <c r="M35" s="45"/>
      <c r="N35" s="45"/>
      <c r="O35" s="43"/>
      <c r="P35" s="43"/>
      <c r="Q35" s="46"/>
      <c r="R35" s="46"/>
    </row>
    <row r="36">
      <c r="F36" s="50" t="s">
        <v>94</v>
      </c>
      <c r="G36" s="45"/>
      <c r="H36" s="43">
        <v>678.0</v>
      </c>
      <c r="I36" s="43">
        <v>678.0</v>
      </c>
      <c r="J36" s="45"/>
      <c r="K36" s="43"/>
      <c r="L36" s="45"/>
      <c r="M36" s="45"/>
      <c r="N36" s="45"/>
      <c r="O36" s="45"/>
      <c r="P36" s="45"/>
      <c r="Q36" s="46"/>
      <c r="R36" s="46"/>
    </row>
    <row r="37">
      <c r="F37" s="50" t="s">
        <v>93</v>
      </c>
      <c r="G37" s="43">
        <v>500.0</v>
      </c>
      <c r="H37" s="43"/>
      <c r="I37" s="43"/>
      <c r="J37" s="43"/>
      <c r="K37" s="43"/>
      <c r="L37" s="43"/>
      <c r="M37" s="43"/>
      <c r="N37" s="43"/>
      <c r="O37" s="43"/>
      <c r="P37" s="43"/>
      <c r="Q37" s="44"/>
      <c r="R37" s="44"/>
    </row>
    <row r="38">
      <c r="F38" s="50" t="s">
        <v>58</v>
      </c>
      <c r="G38" s="43">
        <v>575.0</v>
      </c>
      <c r="H38" s="43">
        <v>187.5</v>
      </c>
      <c r="I38" s="43">
        <f>187.5+840</f>
        <v>1027.5</v>
      </c>
      <c r="J38" s="45">
        <f>3010</f>
        <v>3010</v>
      </c>
      <c r="K38" s="45"/>
      <c r="L38" s="45"/>
      <c r="M38" s="45"/>
      <c r="N38" s="45"/>
      <c r="O38" s="43"/>
      <c r="P38" s="43"/>
      <c r="Q38" s="46"/>
      <c r="R38" s="44"/>
    </row>
    <row r="39">
      <c r="F39" s="33" t="s">
        <v>60</v>
      </c>
      <c r="G39" s="45"/>
      <c r="H39" s="45"/>
      <c r="I39" s="45"/>
      <c r="J39" s="45"/>
      <c r="K39" s="45"/>
      <c r="L39" s="45"/>
      <c r="M39" s="45"/>
      <c r="N39" s="43"/>
      <c r="O39" s="45"/>
      <c r="P39" s="45"/>
      <c r="Q39" s="46"/>
      <c r="R39" s="46"/>
    </row>
    <row r="40">
      <c r="F40" s="50" t="s">
        <v>106</v>
      </c>
      <c r="G40" s="43">
        <v>200.0</v>
      </c>
      <c r="H40" s="43"/>
      <c r="I40" s="43"/>
      <c r="J40" s="43"/>
      <c r="K40" s="43"/>
      <c r="L40" s="43"/>
      <c r="M40" s="43"/>
      <c r="N40" s="43"/>
      <c r="O40" s="43"/>
      <c r="P40" s="43"/>
      <c r="Q40" s="44"/>
      <c r="R40" s="44"/>
    </row>
    <row r="41">
      <c r="F41" s="50" t="s">
        <v>55</v>
      </c>
      <c r="G41" s="43">
        <v>1000.0</v>
      </c>
      <c r="H41" s="43">
        <v>5000.0</v>
      </c>
      <c r="I41" s="43">
        <v>5000.0</v>
      </c>
      <c r="J41" s="43">
        <v>5000.0</v>
      </c>
      <c r="K41" s="43">
        <v>5000.0</v>
      </c>
      <c r="L41" s="43">
        <v>5000.0</v>
      </c>
      <c r="M41" s="43">
        <v>5000.0</v>
      </c>
      <c r="N41" s="43">
        <v>5000.0</v>
      </c>
      <c r="O41" s="43"/>
      <c r="P41" s="43"/>
      <c r="Q41" s="43"/>
      <c r="R41" s="44"/>
    </row>
    <row r="42">
      <c r="E42" s="61"/>
      <c r="F42" s="62" t="s">
        <v>64</v>
      </c>
      <c r="G42" s="64"/>
      <c r="H42" s="84"/>
      <c r="I42" s="84"/>
      <c r="J42" s="84"/>
      <c r="K42" s="84"/>
      <c r="L42" s="84"/>
      <c r="M42" s="64"/>
      <c r="N42" s="64"/>
      <c r="O42" s="64"/>
      <c r="P42" s="64"/>
      <c r="Q42" s="64"/>
      <c r="R42" s="64"/>
    </row>
    <row r="43">
      <c r="F43" s="33" t="s">
        <v>38</v>
      </c>
      <c r="G43" s="41">
        <f t="shared" ref="G43:N43" si="7">SUM(G44:G46)</f>
        <v>1000</v>
      </c>
      <c r="H43" s="41">
        <f t="shared" si="7"/>
        <v>1300</v>
      </c>
      <c r="I43" s="41">
        <f t="shared" si="7"/>
        <v>1300</v>
      </c>
      <c r="J43" s="41">
        <f t="shared" si="7"/>
        <v>1300</v>
      </c>
      <c r="K43" s="41">
        <f t="shared" si="7"/>
        <v>1300</v>
      </c>
      <c r="L43" s="41">
        <f t="shared" si="7"/>
        <v>1300</v>
      </c>
      <c r="M43" s="41">
        <f t="shared" si="7"/>
        <v>1300</v>
      </c>
      <c r="N43" s="41">
        <f t="shared" si="7"/>
        <v>1300</v>
      </c>
      <c r="O43" s="19"/>
      <c r="P43" s="19"/>
      <c r="Q43" s="19"/>
      <c r="R43" s="19"/>
    </row>
    <row r="44">
      <c r="F44" s="33" t="s">
        <v>80</v>
      </c>
      <c r="I44" s="83"/>
      <c r="J44" s="85"/>
      <c r="K44" s="85"/>
      <c r="L44" s="85"/>
      <c r="M44" s="85"/>
      <c r="N44" s="85"/>
      <c r="O44" s="83"/>
      <c r="P44" s="83"/>
    </row>
    <row r="45">
      <c r="E45" s="33" t="s">
        <v>107</v>
      </c>
      <c r="F45" s="33" t="s">
        <v>100</v>
      </c>
      <c r="I45" s="85"/>
      <c r="J45" s="72"/>
      <c r="K45" s="85"/>
      <c r="L45" s="85"/>
      <c r="M45" s="85"/>
      <c r="N45" s="85"/>
      <c r="O45" s="83"/>
      <c r="P45" s="83"/>
      <c r="Q45" s="92"/>
    </row>
    <row r="46">
      <c r="E46" s="93"/>
      <c r="F46" s="93" t="s">
        <v>55</v>
      </c>
      <c r="G46" s="84">
        <v>1000.0</v>
      </c>
      <c r="H46" s="84">
        <v>1300.0</v>
      </c>
      <c r="I46" s="84">
        <v>1300.0</v>
      </c>
      <c r="J46" s="84">
        <v>1300.0</v>
      </c>
      <c r="K46" s="84">
        <v>1300.0</v>
      </c>
      <c r="L46" s="84">
        <v>1300.0</v>
      </c>
      <c r="M46" s="84">
        <v>1300.0</v>
      </c>
      <c r="N46" s="84">
        <v>1300.0</v>
      </c>
      <c r="O46" s="84"/>
      <c r="P46" s="84"/>
      <c r="Q46" s="60"/>
      <c r="R46" s="60"/>
    </row>
    <row r="47">
      <c r="E47" s="33"/>
      <c r="F47" s="33" t="s">
        <v>38</v>
      </c>
      <c r="G47" s="41">
        <f t="shared" ref="G47:N47" si="8">SUM(G48:G50)</f>
        <v>1000</v>
      </c>
      <c r="H47" s="41">
        <f t="shared" si="8"/>
        <v>1500</v>
      </c>
      <c r="I47" s="41">
        <f t="shared" si="8"/>
        <v>2100</v>
      </c>
      <c r="J47" s="41">
        <f t="shared" si="8"/>
        <v>1500</v>
      </c>
      <c r="K47" s="41">
        <f t="shared" si="8"/>
        <v>1950</v>
      </c>
      <c r="L47" s="41">
        <f t="shared" si="8"/>
        <v>1500</v>
      </c>
      <c r="M47" s="41">
        <f t="shared" si="8"/>
        <v>1725</v>
      </c>
      <c r="N47" s="41">
        <f t="shared" si="8"/>
        <v>1500</v>
      </c>
      <c r="O47" s="19"/>
      <c r="P47" s="19"/>
      <c r="Q47" s="19"/>
      <c r="R47" s="19"/>
    </row>
    <row r="48">
      <c r="E48" s="33" t="s">
        <v>108</v>
      </c>
      <c r="F48" s="33" t="s">
        <v>80</v>
      </c>
      <c r="I48" s="46">
        <f>600</f>
        <v>600</v>
      </c>
      <c r="J48" s="85"/>
      <c r="K48" s="44">
        <f>150+300</f>
        <v>450</v>
      </c>
      <c r="L48" s="85"/>
      <c r="M48" s="72">
        <f>75*3</f>
        <v>225</v>
      </c>
      <c r="N48" s="83"/>
      <c r="O48" s="83"/>
      <c r="P48" s="83"/>
    </row>
    <row r="49">
      <c r="F49" s="33" t="s">
        <v>100</v>
      </c>
    </row>
    <row r="50">
      <c r="E50" s="93"/>
      <c r="F50" s="93" t="s">
        <v>55</v>
      </c>
      <c r="G50" s="84">
        <v>1000.0</v>
      </c>
      <c r="H50" s="84">
        <v>1500.0</v>
      </c>
      <c r="I50" s="84">
        <v>1500.0</v>
      </c>
      <c r="J50" s="84">
        <v>1500.0</v>
      </c>
      <c r="K50" s="84">
        <v>1500.0</v>
      </c>
      <c r="L50" s="84">
        <v>1500.0</v>
      </c>
      <c r="M50" s="84">
        <v>1500.0</v>
      </c>
      <c r="N50" s="84">
        <v>1500.0</v>
      </c>
      <c r="O50" s="84"/>
      <c r="P50" s="84"/>
      <c r="Q50" s="60"/>
      <c r="R50" s="60"/>
    </row>
    <row r="51">
      <c r="F51" s="33" t="s">
        <v>38</v>
      </c>
      <c r="G51" s="41">
        <f t="shared" ref="G51:N51" si="9">SUM(G52:G54)</f>
        <v>1000</v>
      </c>
      <c r="H51" s="41">
        <f t="shared" si="9"/>
        <v>1500</v>
      </c>
      <c r="I51" s="41">
        <f t="shared" si="9"/>
        <v>3000</v>
      </c>
      <c r="J51" s="41">
        <f t="shared" si="9"/>
        <v>3000</v>
      </c>
      <c r="K51" s="41">
        <f t="shared" si="9"/>
        <v>3000</v>
      </c>
      <c r="L51" s="41">
        <f t="shared" si="9"/>
        <v>3000</v>
      </c>
      <c r="M51" s="41">
        <f t="shared" si="9"/>
        <v>3000</v>
      </c>
      <c r="N51" s="41">
        <f t="shared" si="9"/>
        <v>3000</v>
      </c>
      <c r="O51" s="19"/>
      <c r="P51" s="19"/>
      <c r="Q51" s="19"/>
      <c r="R51" s="19"/>
    </row>
    <row r="52">
      <c r="E52" s="33" t="s">
        <v>79</v>
      </c>
      <c r="F52" s="33" t="s">
        <v>80</v>
      </c>
      <c r="H52" s="77"/>
      <c r="I52" s="77"/>
      <c r="J52" s="83"/>
      <c r="K52" s="83"/>
      <c r="L52" s="83"/>
      <c r="M52" s="83"/>
      <c r="N52" s="83"/>
    </row>
    <row r="53">
      <c r="F53" s="33" t="s">
        <v>100</v>
      </c>
      <c r="H53" s="77"/>
      <c r="I53" s="77"/>
      <c r="J53" s="83"/>
      <c r="K53" s="83"/>
      <c r="L53" s="83"/>
      <c r="M53" s="85"/>
      <c r="N53" s="83"/>
    </row>
    <row r="54">
      <c r="E54" s="93"/>
      <c r="F54" s="93" t="s">
        <v>55</v>
      </c>
      <c r="G54" s="84">
        <v>1000.0</v>
      </c>
      <c r="H54" s="84">
        <v>1500.0</v>
      </c>
      <c r="I54" s="84">
        <f t="shared" ref="I54:L54" si="10">3000</f>
        <v>3000</v>
      </c>
      <c r="J54" s="84">
        <f t="shared" si="10"/>
        <v>3000</v>
      </c>
      <c r="K54" s="84">
        <f t="shared" si="10"/>
        <v>3000</v>
      </c>
      <c r="L54" s="84">
        <f t="shared" si="10"/>
        <v>3000</v>
      </c>
      <c r="M54" s="84">
        <v>3000.0</v>
      </c>
      <c r="N54" s="84">
        <v>3000.0</v>
      </c>
      <c r="O54" s="60"/>
      <c r="P54" s="60"/>
      <c r="Q54" s="60"/>
      <c r="R54" s="60"/>
    </row>
    <row r="55">
      <c r="F55" s="33" t="s">
        <v>38</v>
      </c>
      <c r="G55" s="41">
        <f>SUM(G56:G58)</f>
        <v>300</v>
      </c>
      <c r="J55" s="85"/>
      <c r="K55" s="77"/>
      <c r="L55" s="77"/>
      <c r="N55" s="19"/>
      <c r="O55" s="19"/>
      <c r="P55" s="19"/>
      <c r="Q55" s="19"/>
      <c r="R55" s="19"/>
    </row>
    <row r="56">
      <c r="E56" s="33" t="s">
        <v>109</v>
      </c>
      <c r="F56" s="33" t="s">
        <v>80</v>
      </c>
      <c r="J56" s="85"/>
      <c r="K56" s="77"/>
      <c r="L56" s="77"/>
    </row>
    <row r="57">
      <c r="F57" s="33" t="s">
        <v>100</v>
      </c>
      <c r="J57" s="85"/>
      <c r="K57" s="77"/>
      <c r="L57" s="72"/>
    </row>
    <row r="58">
      <c r="E58" s="93"/>
      <c r="F58" s="93" t="s">
        <v>55</v>
      </c>
      <c r="G58" s="84">
        <v>300.0</v>
      </c>
      <c r="H58" s="94"/>
      <c r="I58" s="94"/>
      <c r="J58" s="94"/>
      <c r="K58" s="94"/>
      <c r="L58" s="94"/>
      <c r="M58" s="94"/>
      <c r="N58" s="60"/>
      <c r="O58" s="60"/>
      <c r="P58" s="60"/>
      <c r="Q58" s="60"/>
      <c r="R58" s="60"/>
    </row>
    <row r="59">
      <c r="F59" s="33" t="s">
        <v>38</v>
      </c>
      <c r="G59" s="41">
        <f t="shared" ref="G59:N59" si="11">SUM(G60:G62)</f>
        <v>1000</v>
      </c>
      <c r="H59" s="41">
        <f t="shared" si="11"/>
        <v>1000</v>
      </c>
      <c r="I59" s="41">
        <f t="shared" si="11"/>
        <v>1000</v>
      </c>
      <c r="J59" s="41">
        <f t="shared" si="11"/>
        <v>1300</v>
      </c>
      <c r="K59" s="41">
        <f t="shared" si="11"/>
        <v>1300</v>
      </c>
      <c r="L59" s="41">
        <f t="shared" si="11"/>
        <v>1300</v>
      </c>
      <c r="M59" s="41">
        <f t="shared" si="11"/>
        <v>1300</v>
      </c>
      <c r="N59" s="41">
        <f t="shared" si="11"/>
        <v>1300</v>
      </c>
      <c r="R59" s="19"/>
    </row>
    <row r="60">
      <c r="E60" s="50" t="s">
        <v>110</v>
      </c>
      <c r="F60" s="33" t="s">
        <v>80</v>
      </c>
    </row>
    <row r="61">
      <c r="F61" s="33" t="s">
        <v>100</v>
      </c>
    </row>
    <row r="62">
      <c r="E62" s="93"/>
      <c r="F62" s="93" t="s">
        <v>55</v>
      </c>
      <c r="G62" s="84">
        <v>1000.0</v>
      </c>
      <c r="H62" s="84">
        <v>1000.0</v>
      </c>
      <c r="I62" s="84">
        <v>1000.0</v>
      </c>
      <c r="J62" s="84">
        <v>1300.0</v>
      </c>
      <c r="K62" s="84">
        <v>1300.0</v>
      </c>
      <c r="L62" s="84">
        <v>1300.0</v>
      </c>
      <c r="M62" s="84">
        <v>1300.0</v>
      </c>
      <c r="N62" s="84">
        <v>1300.0</v>
      </c>
      <c r="O62" s="93"/>
      <c r="P62" s="93"/>
      <c r="Q62" s="93"/>
      <c r="R62" s="60"/>
    </row>
    <row r="63">
      <c r="F63" s="33" t="s">
        <v>38</v>
      </c>
      <c r="G63" s="41">
        <f t="shared" ref="G63:N63" si="12">SUM(G64:G66)</f>
        <v>2500</v>
      </c>
      <c r="H63" s="41">
        <f t="shared" si="12"/>
        <v>2500</v>
      </c>
      <c r="I63" s="41">
        <f t="shared" si="12"/>
        <v>2500</v>
      </c>
      <c r="J63" s="41">
        <f t="shared" si="12"/>
        <v>4000</v>
      </c>
      <c r="K63" s="41">
        <f t="shared" si="12"/>
        <v>4000</v>
      </c>
      <c r="L63" s="41">
        <f t="shared" si="12"/>
        <v>5000</v>
      </c>
      <c r="M63" s="41">
        <f t="shared" si="12"/>
        <v>5546</v>
      </c>
      <c r="N63" s="41">
        <f t="shared" si="12"/>
        <v>5417</v>
      </c>
      <c r="R63" s="19"/>
    </row>
    <row r="64">
      <c r="E64" s="50" t="s">
        <v>26</v>
      </c>
      <c r="F64" s="33" t="s">
        <v>80</v>
      </c>
    </row>
    <row r="65">
      <c r="F65" s="50" t="s">
        <v>111</v>
      </c>
      <c r="M65" s="46">
        <f>(9000*3%)+(9200*3%)</f>
        <v>546</v>
      </c>
      <c r="N65" s="46">
        <v>417.0</v>
      </c>
    </row>
    <row r="66">
      <c r="E66" s="93"/>
      <c r="F66" s="93" t="s">
        <v>55</v>
      </c>
      <c r="G66" s="84">
        <v>2500.0</v>
      </c>
      <c r="H66" s="84">
        <v>2500.0</v>
      </c>
      <c r="I66" s="84">
        <v>2500.0</v>
      </c>
      <c r="J66" s="84">
        <v>4000.0</v>
      </c>
      <c r="K66" s="84">
        <v>4000.0</v>
      </c>
      <c r="L66" s="84">
        <v>5000.0</v>
      </c>
      <c r="M66" s="84">
        <v>5000.0</v>
      </c>
      <c r="N66" s="84">
        <v>5000.0</v>
      </c>
      <c r="O66" s="64"/>
      <c r="P66" s="64"/>
      <c r="Q66" s="64"/>
      <c r="R66" s="60"/>
    </row>
    <row r="67">
      <c r="F67" s="65" t="s">
        <v>38</v>
      </c>
      <c r="G67" s="19">
        <f t="shared" ref="G67:R67" si="13">SUM(G3,G13,G23,G33,G43,G47,G51,G55,G59,G63)</f>
        <v>30191.66</v>
      </c>
      <c r="H67" s="19">
        <f t="shared" si="13"/>
        <v>30059.73</v>
      </c>
      <c r="I67" s="19">
        <f t="shared" si="13"/>
        <v>41846.95</v>
      </c>
      <c r="J67" s="19">
        <f t="shared" si="13"/>
        <v>40111.45</v>
      </c>
      <c r="K67" s="19">
        <f t="shared" si="13"/>
        <v>43675.7</v>
      </c>
      <c r="L67" s="19">
        <f t="shared" si="13"/>
        <v>41043.7</v>
      </c>
      <c r="M67" s="19">
        <f t="shared" si="13"/>
        <v>44625.7</v>
      </c>
      <c r="N67" s="19">
        <f t="shared" si="13"/>
        <v>45186.3</v>
      </c>
      <c r="O67" s="19">
        <f t="shared" si="13"/>
        <v>0</v>
      </c>
      <c r="P67" s="19">
        <f t="shared" si="13"/>
        <v>0</v>
      </c>
      <c r="Q67" s="19">
        <f t="shared" si="13"/>
        <v>0</v>
      </c>
      <c r="R67" s="19">
        <f t="shared" si="13"/>
        <v>0</v>
      </c>
    </row>
  </sheetData>
  <mergeCells count="4">
    <mergeCell ref="E3:E11"/>
    <mergeCell ref="E13:E21"/>
    <mergeCell ref="E23:E31"/>
    <mergeCell ref="E33:E4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9.63"/>
    <col customWidth="1" min="3" max="3" width="10.13"/>
    <col customWidth="1" min="4" max="4" width="12.88"/>
    <col customWidth="1" min="5" max="5" width="24.13"/>
  </cols>
  <sheetData>
    <row r="5">
      <c r="E5" s="36" t="s">
        <v>40</v>
      </c>
      <c r="F5" s="36" t="s">
        <v>0</v>
      </c>
      <c r="G5" s="36" t="s">
        <v>1</v>
      </c>
      <c r="H5" s="36" t="s">
        <v>2</v>
      </c>
      <c r="I5" s="36" t="s">
        <v>3</v>
      </c>
      <c r="J5" s="36" t="s">
        <v>4</v>
      </c>
      <c r="K5" s="36" t="s">
        <v>5</v>
      </c>
      <c r="L5" s="36" t="s">
        <v>6</v>
      </c>
      <c r="M5" s="36" t="s">
        <v>7</v>
      </c>
      <c r="N5" s="36" t="s">
        <v>8</v>
      </c>
      <c r="O5" s="36" t="s">
        <v>9</v>
      </c>
      <c r="P5" s="36" t="s">
        <v>10</v>
      </c>
      <c r="Q5" s="36" t="s">
        <v>11</v>
      </c>
    </row>
    <row r="6">
      <c r="D6" s="38" t="s">
        <v>21</v>
      </c>
      <c r="E6" s="39" t="s">
        <v>38</v>
      </c>
      <c r="F6" s="40">
        <f t="shared" ref="F6:Q6" si="1">SUM(F7:F15)</f>
        <v>3500</v>
      </c>
      <c r="G6" s="40">
        <f t="shared" si="1"/>
        <v>3500</v>
      </c>
      <c r="H6" s="40">
        <f t="shared" si="1"/>
        <v>3500</v>
      </c>
      <c r="I6" s="40">
        <f t="shared" si="1"/>
        <v>3500</v>
      </c>
      <c r="J6" s="40">
        <f t="shared" si="1"/>
        <v>3500</v>
      </c>
      <c r="K6" s="40">
        <f t="shared" si="1"/>
        <v>3500</v>
      </c>
      <c r="L6" s="40">
        <f t="shared" si="1"/>
        <v>4500</v>
      </c>
      <c r="M6" s="40">
        <f t="shared" si="1"/>
        <v>4500</v>
      </c>
      <c r="N6" s="40">
        <f t="shared" si="1"/>
        <v>0</v>
      </c>
      <c r="O6" s="40">
        <f t="shared" si="1"/>
        <v>0</v>
      </c>
      <c r="P6" s="40">
        <f t="shared" si="1"/>
        <v>0</v>
      </c>
      <c r="Q6" s="40">
        <f t="shared" si="1"/>
        <v>0</v>
      </c>
    </row>
    <row r="7">
      <c r="E7" s="39" t="s">
        <v>41</v>
      </c>
      <c r="F7" s="44"/>
      <c r="G7" s="44"/>
      <c r="H7" s="46"/>
      <c r="I7" s="44"/>
      <c r="J7" s="46"/>
      <c r="K7" s="46"/>
      <c r="L7" s="44"/>
      <c r="M7" s="44"/>
      <c r="N7" s="44"/>
      <c r="O7" s="44"/>
    </row>
    <row r="8">
      <c r="E8" s="39" t="s">
        <v>43</v>
      </c>
      <c r="F8" s="44"/>
      <c r="G8" s="46"/>
      <c r="H8" s="46"/>
      <c r="I8" s="46"/>
      <c r="J8" s="44"/>
      <c r="K8" s="44"/>
      <c r="L8" s="44"/>
      <c r="M8" s="44"/>
      <c r="N8" s="44"/>
      <c r="O8" s="44"/>
    </row>
    <row r="9">
      <c r="E9" s="39" t="s">
        <v>45</v>
      </c>
      <c r="F9" s="46"/>
      <c r="G9" s="46"/>
      <c r="H9" s="46"/>
      <c r="I9" s="46"/>
      <c r="J9" s="46"/>
      <c r="K9" s="46"/>
      <c r="L9" s="46"/>
      <c r="M9" s="46"/>
      <c r="N9" s="44"/>
      <c r="O9" s="44"/>
    </row>
    <row r="10">
      <c r="E10" s="39" t="s">
        <v>46</v>
      </c>
      <c r="F10" s="46"/>
      <c r="G10" s="46"/>
      <c r="H10" s="46"/>
      <c r="I10" s="46"/>
      <c r="J10" s="46"/>
      <c r="K10" s="46"/>
      <c r="L10" s="46"/>
      <c r="M10" s="46"/>
      <c r="N10" s="44"/>
      <c r="O10" s="44"/>
    </row>
    <row r="11">
      <c r="E11" s="39" t="s">
        <v>47</v>
      </c>
      <c r="F11" s="46"/>
      <c r="G11" s="46"/>
      <c r="H11" s="46"/>
      <c r="I11" s="46"/>
      <c r="J11" s="46"/>
      <c r="K11" s="46"/>
      <c r="L11" s="46"/>
      <c r="M11" s="46"/>
      <c r="N11" s="44"/>
      <c r="O11" s="44"/>
    </row>
    <row r="12">
      <c r="E12" s="39" t="s">
        <v>49</v>
      </c>
      <c r="F12" s="44">
        <v>1000.0</v>
      </c>
      <c r="G12" s="44">
        <v>1000.0</v>
      </c>
      <c r="H12" s="44">
        <v>1000.0</v>
      </c>
      <c r="I12" s="44">
        <v>1000.0</v>
      </c>
      <c r="J12" s="44">
        <v>1000.0</v>
      </c>
      <c r="K12" s="44">
        <v>1000.0</v>
      </c>
      <c r="L12" s="44">
        <v>2000.0</v>
      </c>
      <c r="M12" s="44">
        <v>4500.0</v>
      </c>
      <c r="N12" s="44"/>
      <c r="O12" s="44"/>
      <c r="P12" s="44"/>
      <c r="Q12" s="44"/>
    </row>
    <row r="13">
      <c r="E13" s="39" t="s">
        <v>54</v>
      </c>
      <c r="F13" s="46"/>
      <c r="G13" s="46"/>
      <c r="H13" s="46"/>
      <c r="I13" s="46"/>
      <c r="J13" s="46"/>
      <c r="K13" s="46"/>
      <c r="L13" s="46"/>
      <c r="M13" s="46"/>
      <c r="N13" s="44"/>
      <c r="O13" s="44"/>
      <c r="P13" s="44"/>
      <c r="Q13" s="44"/>
    </row>
    <row r="14">
      <c r="E14" s="39" t="s">
        <v>59</v>
      </c>
      <c r="F14" s="46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</row>
    <row r="15">
      <c r="E15" s="39" t="s">
        <v>62</v>
      </c>
      <c r="F15" s="44">
        <v>2500.0</v>
      </c>
      <c r="G15" s="44">
        <v>2500.0</v>
      </c>
      <c r="H15" s="44">
        <v>2500.0</v>
      </c>
      <c r="I15" s="44">
        <v>2500.0</v>
      </c>
      <c r="J15" s="44">
        <v>2500.0</v>
      </c>
      <c r="K15" s="44">
        <v>2500.0</v>
      </c>
      <c r="L15" s="44">
        <v>2500.0</v>
      </c>
      <c r="M15" s="44"/>
      <c r="N15" s="44"/>
      <c r="O15" s="44"/>
      <c r="P15" s="44"/>
      <c r="Q15" s="44"/>
    </row>
    <row r="16">
      <c r="D16" s="58"/>
      <c r="E16" s="59" t="s">
        <v>64</v>
      </c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</row>
    <row r="17">
      <c r="D17" s="38" t="s">
        <v>23</v>
      </c>
      <c r="E17" s="39" t="s">
        <v>38</v>
      </c>
      <c r="F17" s="40">
        <f t="shared" ref="F17:J17" si="2">SUM(F18:F26)</f>
        <v>3375</v>
      </c>
      <c r="G17" s="40">
        <f t="shared" si="2"/>
        <v>1500</v>
      </c>
      <c r="H17" s="40">
        <f t="shared" si="2"/>
        <v>1500</v>
      </c>
      <c r="I17" s="40">
        <f t="shared" si="2"/>
        <v>1621</v>
      </c>
      <c r="J17" s="40">
        <f t="shared" si="2"/>
        <v>1621</v>
      </c>
      <c r="K17" s="40">
        <f t="shared" ref="K17:Q17" si="3">SUM(K18:K27)</f>
        <v>1621</v>
      </c>
      <c r="L17" s="40">
        <f t="shared" si="3"/>
        <v>1621</v>
      </c>
      <c r="M17" s="40">
        <f t="shared" si="3"/>
        <v>1621</v>
      </c>
      <c r="N17" s="40">
        <f t="shared" si="3"/>
        <v>0</v>
      </c>
      <c r="O17" s="40">
        <f t="shared" si="3"/>
        <v>0</v>
      </c>
      <c r="P17" s="40">
        <f t="shared" si="3"/>
        <v>0</v>
      </c>
      <c r="Q17" s="40">
        <f t="shared" si="3"/>
        <v>0</v>
      </c>
    </row>
    <row r="18">
      <c r="E18" s="39" t="s">
        <v>41</v>
      </c>
      <c r="F18" s="46"/>
      <c r="G18" s="46"/>
      <c r="H18" s="44"/>
      <c r="I18" s="44"/>
      <c r="J18" s="46"/>
      <c r="K18" s="46"/>
      <c r="L18" s="44"/>
      <c r="M18" s="44"/>
      <c r="N18" s="44"/>
      <c r="O18" s="46"/>
      <c r="P18" s="46"/>
      <c r="Q18" s="46"/>
    </row>
    <row r="19">
      <c r="E19" s="39" t="s">
        <v>43</v>
      </c>
      <c r="F19" s="46"/>
      <c r="G19" s="46"/>
      <c r="H19" s="46"/>
      <c r="I19" s="46"/>
      <c r="J19" s="46"/>
      <c r="K19" s="46"/>
      <c r="L19" s="44"/>
      <c r="M19" s="44"/>
      <c r="N19" s="44"/>
      <c r="O19" s="44"/>
      <c r="P19" s="46"/>
      <c r="Q19" s="46"/>
    </row>
    <row r="20">
      <c r="E20" s="39" t="s">
        <v>45</v>
      </c>
      <c r="F20" s="46"/>
      <c r="G20" s="46"/>
      <c r="H20" s="44"/>
      <c r="I20" s="46"/>
      <c r="J20" s="46"/>
      <c r="K20" s="46"/>
      <c r="L20" s="44"/>
      <c r="N20" s="44"/>
      <c r="O20" s="44"/>
      <c r="P20" s="46"/>
      <c r="Q20" s="46"/>
    </row>
    <row r="21">
      <c r="E21" s="39" t="s">
        <v>46</v>
      </c>
      <c r="F21" s="44"/>
      <c r="G21" s="44"/>
      <c r="H21" s="46"/>
      <c r="I21" s="46"/>
      <c r="J21" s="46"/>
      <c r="K21" s="44"/>
      <c r="L21" s="44"/>
      <c r="M21" s="44"/>
      <c r="N21" s="44"/>
      <c r="O21" s="44"/>
      <c r="P21" s="46"/>
      <c r="Q21" s="46"/>
    </row>
    <row r="22">
      <c r="E22" s="39" t="s">
        <v>47</v>
      </c>
      <c r="F22" s="46"/>
      <c r="G22" s="46"/>
      <c r="H22" s="44"/>
      <c r="I22" s="46"/>
      <c r="J22" s="46"/>
      <c r="K22" s="46"/>
      <c r="L22" s="46"/>
      <c r="M22" s="46"/>
      <c r="O22" s="44"/>
      <c r="P22" s="46"/>
      <c r="Q22" s="46"/>
    </row>
    <row r="23">
      <c r="E23" s="39" t="s">
        <v>77</v>
      </c>
      <c r="F23" s="46"/>
      <c r="G23" s="46"/>
      <c r="H23" s="46"/>
      <c r="I23" s="46"/>
      <c r="J23" s="46"/>
      <c r="K23" s="46"/>
      <c r="L23" s="46"/>
      <c r="M23" s="46"/>
      <c r="N23" s="44"/>
      <c r="O23" s="44"/>
      <c r="P23" s="46"/>
      <c r="Q23" s="46"/>
    </row>
    <row r="24">
      <c r="E24" s="50" t="s">
        <v>80</v>
      </c>
      <c r="F24" s="44">
        <v>1875.0</v>
      </c>
      <c r="G24" s="46"/>
      <c r="H24" s="46"/>
      <c r="I24" s="46"/>
      <c r="J24" s="46"/>
      <c r="K24" s="46"/>
      <c r="L24" s="46"/>
      <c r="M24" s="46"/>
      <c r="N24" s="46"/>
      <c r="O24" s="44"/>
      <c r="P24" s="46"/>
      <c r="Q24" s="44"/>
    </row>
    <row r="25">
      <c r="E25" s="39" t="s">
        <v>82</v>
      </c>
      <c r="F25" s="46"/>
      <c r="G25" s="46"/>
      <c r="H25" s="46"/>
      <c r="I25" s="46"/>
      <c r="J25" s="46"/>
      <c r="K25" s="46"/>
      <c r="L25" s="46"/>
      <c r="M25" s="46"/>
      <c r="O25" s="44"/>
      <c r="P25" s="46"/>
      <c r="Q25" s="46"/>
    </row>
    <row r="26">
      <c r="E26" s="39" t="s">
        <v>62</v>
      </c>
      <c r="F26" s="44">
        <v>1500.0</v>
      </c>
      <c r="G26" s="44">
        <v>1500.0</v>
      </c>
      <c r="H26" s="44">
        <v>1500.0</v>
      </c>
      <c r="I26" s="44">
        <v>1621.0</v>
      </c>
      <c r="J26" s="44">
        <v>1621.0</v>
      </c>
      <c r="K26" s="44">
        <v>1621.0</v>
      </c>
      <c r="L26" s="44">
        <v>1621.0</v>
      </c>
      <c r="M26" s="44">
        <v>1621.0</v>
      </c>
      <c r="N26" s="44"/>
      <c r="O26" s="44"/>
      <c r="P26" s="44"/>
      <c r="Q26" s="44"/>
    </row>
    <row r="27">
      <c r="D27" s="58"/>
      <c r="E27" s="59" t="s">
        <v>64</v>
      </c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</row>
    <row r="28">
      <c r="D28" s="38" t="s">
        <v>70</v>
      </c>
      <c r="E28" s="39" t="s">
        <v>38</v>
      </c>
      <c r="F28" s="40">
        <f t="shared" ref="F28:Q28" si="4">SUM(F29:F37)</f>
        <v>600</v>
      </c>
      <c r="G28" s="40">
        <f t="shared" si="4"/>
        <v>600</v>
      </c>
      <c r="H28" s="40">
        <f t="shared" si="4"/>
        <v>600</v>
      </c>
      <c r="I28" s="40">
        <f t="shared" si="4"/>
        <v>600</v>
      </c>
      <c r="J28" s="40">
        <f t="shared" si="4"/>
        <v>600</v>
      </c>
      <c r="K28" s="40">
        <f t="shared" si="4"/>
        <v>600</v>
      </c>
      <c r="L28" s="40">
        <f t="shared" si="4"/>
        <v>600</v>
      </c>
      <c r="M28" s="40">
        <f t="shared" si="4"/>
        <v>600</v>
      </c>
      <c r="N28" s="40">
        <f t="shared" si="4"/>
        <v>0</v>
      </c>
      <c r="O28" s="40">
        <f t="shared" si="4"/>
        <v>0</v>
      </c>
      <c r="P28" s="40">
        <f t="shared" si="4"/>
        <v>0</v>
      </c>
      <c r="Q28" s="40">
        <f t="shared" si="4"/>
        <v>0</v>
      </c>
    </row>
    <row r="29">
      <c r="E29" s="39" t="s">
        <v>41</v>
      </c>
      <c r="F29" s="46"/>
      <c r="G29" s="44"/>
      <c r="H29" s="46"/>
      <c r="I29" s="46"/>
      <c r="J29" s="44"/>
      <c r="K29" s="44"/>
      <c r="L29" s="44"/>
      <c r="M29" s="46"/>
      <c r="N29" s="44"/>
      <c r="O29" s="46"/>
      <c r="P29" s="46"/>
      <c r="Q29" s="46"/>
    </row>
    <row r="30">
      <c r="E30" s="39" t="s">
        <v>43</v>
      </c>
      <c r="F30" s="46"/>
      <c r="G30" s="46"/>
      <c r="H30" s="44"/>
      <c r="I30" s="46"/>
      <c r="J30" s="46"/>
      <c r="K30" s="44"/>
      <c r="L30" s="46"/>
      <c r="M30" s="44"/>
      <c r="N30" s="44"/>
      <c r="O30" s="44"/>
      <c r="P30" s="46"/>
      <c r="Q30" s="44"/>
    </row>
    <row r="31">
      <c r="E31" s="39" t="s">
        <v>45</v>
      </c>
      <c r="F31" s="46"/>
      <c r="G31" s="46"/>
      <c r="H31" s="46"/>
      <c r="I31" s="46"/>
      <c r="J31" s="44"/>
      <c r="K31" s="44"/>
      <c r="L31" s="46"/>
      <c r="M31" s="46"/>
      <c r="N31" s="44"/>
      <c r="O31" s="46"/>
      <c r="P31" s="46"/>
      <c r="Q31" s="46"/>
    </row>
    <row r="32">
      <c r="E32" s="39" t="s">
        <v>46</v>
      </c>
      <c r="F32" s="46"/>
      <c r="G32" s="46"/>
      <c r="H32" s="46"/>
      <c r="I32" s="46"/>
      <c r="J32" s="46"/>
      <c r="K32" s="46"/>
      <c r="L32" s="46"/>
      <c r="M32" s="46"/>
      <c r="N32" s="44"/>
      <c r="O32" s="46"/>
      <c r="P32" s="46"/>
      <c r="Q32" s="46"/>
    </row>
    <row r="33">
      <c r="E33" s="39" t="s">
        <v>47</v>
      </c>
      <c r="F33" s="46"/>
      <c r="G33" s="46"/>
      <c r="H33" s="46"/>
      <c r="I33" s="46"/>
      <c r="J33" s="46"/>
      <c r="K33" s="46"/>
      <c r="L33" s="46"/>
      <c r="M33" s="46"/>
      <c r="N33" s="44"/>
      <c r="O33" s="46"/>
      <c r="P33" s="46"/>
      <c r="Q33" s="46"/>
    </row>
    <row r="34">
      <c r="E34" s="39" t="s">
        <v>77</v>
      </c>
      <c r="F34" s="46"/>
      <c r="G34" s="46"/>
      <c r="H34" s="46"/>
      <c r="I34" s="46"/>
      <c r="J34" s="46"/>
      <c r="K34" s="46"/>
      <c r="L34" s="46"/>
      <c r="M34" s="46"/>
      <c r="N34" s="44"/>
      <c r="O34" s="46"/>
      <c r="P34" s="46"/>
      <c r="Q34" s="46"/>
    </row>
    <row r="35">
      <c r="E35" s="39" t="s">
        <v>54</v>
      </c>
      <c r="F35" s="46"/>
      <c r="G35" s="46"/>
      <c r="H35" s="46"/>
      <c r="I35" s="46"/>
      <c r="J35" s="46"/>
      <c r="K35" s="46"/>
      <c r="L35" s="46"/>
      <c r="M35" s="46"/>
      <c r="N35" s="44"/>
      <c r="O35" s="46"/>
      <c r="P35" s="46"/>
      <c r="Q35" s="46"/>
    </row>
    <row r="36">
      <c r="B36" s="85"/>
      <c r="E36" s="39" t="s">
        <v>96</v>
      </c>
      <c r="F36" s="44"/>
      <c r="G36" s="46"/>
      <c r="H36" s="46"/>
      <c r="I36" s="44"/>
      <c r="J36" s="44"/>
      <c r="K36" s="44"/>
      <c r="L36" s="44"/>
      <c r="M36" s="44"/>
      <c r="N36" s="44"/>
      <c r="O36" s="44"/>
      <c r="P36" s="44"/>
      <c r="Q36" s="44"/>
    </row>
    <row r="37">
      <c r="B37" s="83"/>
      <c r="E37" s="39" t="s">
        <v>97</v>
      </c>
      <c r="F37" s="44">
        <v>600.0</v>
      </c>
      <c r="G37" s="44">
        <v>600.0</v>
      </c>
      <c r="H37" s="44">
        <v>600.0</v>
      </c>
      <c r="I37" s="44">
        <v>600.0</v>
      </c>
      <c r="J37" s="44">
        <v>600.0</v>
      </c>
      <c r="K37" s="44">
        <v>600.0</v>
      </c>
      <c r="L37" s="44">
        <v>600.0</v>
      </c>
      <c r="M37" s="44">
        <v>600.0</v>
      </c>
      <c r="N37" s="44"/>
      <c r="O37" s="44"/>
      <c r="P37" s="44"/>
      <c r="Q37" s="44"/>
    </row>
    <row r="38">
      <c r="B38" s="83"/>
      <c r="D38" s="58"/>
      <c r="E38" s="59" t="s">
        <v>64</v>
      </c>
      <c r="F38" s="60"/>
      <c r="G38" s="60"/>
      <c r="H38" s="60"/>
      <c r="I38" s="60"/>
      <c r="J38" s="60"/>
      <c r="K38" s="86"/>
      <c r="L38" s="86"/>
      <c r="M38" s="86"/>
      <c r="N38" s="86"/>
      <c r="O38" s="86"/>
      <c r="P38" s="86"/>
      <c r="Q38" s="86"/>
    </row>
    <row r="39">
      <c r="B39" s="85"/>
      <c r="D39" s="38" t="s">
        <v>24</v>
      </c>
      <c r="E39" s="39" t="s">
        <v>38</v>
      </c>
      <c r="F39" s="40">
        <f t="shared" ref="F39:J39" si="5">SUM(F40:F48)</f>
        <v>5100</v>
      </c>
      <c r="G39" s="40">
        <f t="shared" si="5"/>
        <v>5100</v>
      </c>
      <c r="H39" s="40">
        <f t="shared" si="5"/>
        <v>5100</v>
      </c>
      <c r="I39" s="40">
        <f t="shared" si="5"/>
        <v>5100</v>
      </c>
      <c r="J39" s="40">
        <f t="shared" si="5"/>
        <v>5100</v>
      </c>
      <c r="K39" s="40">
        <f t="shared" ref="K39:Q39" si="6">SUM(K40:K49)</f>
        <v>5100</v>
      </c>
      <c r="L39" s="40">
        <f t="shared" si="6"/>
        <v>5100</v>
      </c>
      <c r="M39" s="40">
        <f t="shared" si="6"/>
        <v>5100</v>
      </c>
      <c r="N39" s="40">
        <f t="shared" si="6"/>
        <v>0</v>
      </c>
      <c r="O39" s="40">
        <f t="shared" si="6"/>
        <v>0</v>
      </c>
      <c r="P39" s="40">
        <f t="shared" si="6"/>
        <v>0</v>
      </c>
      <c r="Q39" s="40">
        <f t="shared" si="6"/>
        <v>0</v>
      </c>
    </row>
    <row r="40">
      <c r="B40" s="85"/>
      <c r="E40" s="39" t="s">
        <v>41</v>
      </c>
      <c r="F40" s="46"/>
      <c r="G40" s="46"/>
      <c r="H40" s="46"/>
      <c r="I40" s="46"/>
      <c r="J40" s="46"/>
      <c r="K40" s="44"/>
      <c r="L40" s="46"/>
      <c r="M40" s="46"/>
      <c r="N40" s="46"/>
      <c r="O40" s="46"/>
      <c r="P40" s="44"/>
      <c r="Q40" s="46"/>
    </row>
    <row r="41">
      <c r="B41" s="83"/>
      <c r="E41" s="39" t="s">
        <v>43</v>
      </c>
      <c r="F41" s="46"/>
      <c r="G41" s="46"/>
      <c r="H41" s="46"/>
      <c r="I41" s="44"/>
      <c r="J41" s="46"/>
      <c r="K41" s="46"/>
      <c r="L41" s="46"/>
      <c r="M41" s="46"/>
      <c r="N41" s="46"/>
      <c r="O41" s="46"/>
      <c r="P41" s="46"/>
      <c r="Q41" s="46"/>
    </row>
    <row r="42">
      <c r="B42" s="83"/>
      <c r="E42" s="39" t="s">
        <v>45</v>
      </c>
      <c r="F42" s="46"/>
      <c r="G42" s="46"/>
      <c r="H42" s="46"/>
      <c r="I42" s="46"/>
      <c r="J42" s="44"/>
      <c r="K42" s="44"/>
      <c r="L42" s="44"/>
      <c r="M42" s="44"/>
      <c r="N42" s="46"/>
      <c r="O42" s="46"/>
      <c r="P42" s="46"/>
      <c r="Q42" s="46"/>
    </row>
    <row r="43">
      <c r="B43" s="83"/>
      <c r="E43" s="39" t="s">
        <v>46</v>
      </c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4"/>
      <c r="Q43" s="46"/>
    </row>
    <row r="44">
      <c r="B44" s="83"/>
      <c r="E44" s="39" t="s">
        <v>47</v>
      </c>
      <c r="F44" s="46"/>
      <c r="G44" s="44"/>
      <c r="H44" s="46"/>
      <c r="I44" s="46"/>
      <c r="J44" s="46"/>
      <c r="K44" s="46"/>
      <c r="L44" s="44"/>
      <c r="M44" s="46"/>
      <c r="N44" s="46"/>
      <c r="O44" s="44"/>
      <c r="P44" s="46"/>
      <c r="Q44" s="46"/>
    </row>
    <row r="45">
      <c r="E45" s="39" t="s">
        <v>77</v>
      </c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</row>
    <row r="46">
      <c r="E46" s="50" t="s">
        <v>80</v>
      </c>
      <c r="F46" s="46"/>
      <c r="G46" s="46"/>
      <c r="H46" s="46"/>
      <c r="I46" s="46"/>
      <c r="J46" s="46"/>
      <c r="K46" s="46"/>
      <c r="L46" s="46"/>
      <c r="M46" s="46"/>
      <c r="N46" s="46"/>
      <c r="O46" s="44"/>
      <c r="P46" s="44"/>
      <c r="Q46" s="44"/>
    </row>
    <row r="47">
      <c r="E47" s="39" t="s">
        <v>82</v>
      </c>
      <c r="F47" s="46"/>
      <c r="G47" s="46"/>
      <c r="H47" s="46"/>
      <c r="I47" s="46"/>
      <c r="J47" s="46"/>
      <c r="K47" s="46"/>
      <c r="L47" s="46"/>
      <c r="M47" s="46"/>
      <c r="N47" s="46"/>
      <c r="P47" s="46"/>
      <c r="Q47" s="46"/>
    </row>
    <row r="48">
      <c r="E48" s="39" t="s">
        <v>55</v>
      </c>
      <c r="F48" s="44">
        <v>5100.0</v>
      </c>
      <c r="G48" s="44">
        <v>5100.0</v>
      </c>
      <c r="H48" s="44">
        <v>5100.0</v>
      </c>
      <c r="I48" s="44">
        <v>5100.0</v>
      </c>
      <c r="J48" s="44">
        <v>5100.0</v>
      </c>
      <c r="K48" s="44">
        <v>5100.0</v>
      </c>
      <c r="L48" s="44">
        <v>5100.0</v>
      </c>
      <c r="M48" s="44">
        <v>5100.0</v>
      </c>
      <c r="N48" s="44"/>
      <c r="O48" s="44"/>
      <c r="P48" s="44"/>
      <c r="Q48" s="44"/>
    </row>
    <row r="49">
      <c r="D49" s="58"/>
      <c r="E49" s="59" t="s">
        <v>64</v>
      </c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</row>
    <row r="50">
      <c r="D50" s="38" t="s">
        <v>25</v>
      </c>
      <c r="E50" s="39" t="s">
        <v>38</v>
      </c>
      <c r="F50" s="19">
        <f t="shared" ref="F50:Q50" si="7">SUM(F51:F60)</f>
        <v>2500</v>
      </c>
      <c r="G50" s="19">
        <f t="shared" si="7"/>
        <v>2500</v>
      </c>
      <c r="H50" s="19">
        <f t="shared" si="7"/>
        <v>3100</v>
      </c>
      <c r="I50" s="19">
        <f t="shared" si="7"/>
        <v>2500</v>
      </c>
      <c r="J50" s="19">
        <f t="shared" si="7"/>
        <v>3025</v>
      </c>
      <c r="K50" s="19">
        <f t="shared" si="7"/>
        <v>2500</v>
      </c>
      <c r="L50" s="19">
        <f t="shared" si="7"/>
        <v>2650</v>
      </c>
      <c r="M50" s="19">
        <f t="shared" si="7"/>
        <v>2650</v>
      </c>
      <c r="N50" s="19">
        <f t="shared" si="7"/>
        <v>0</v>
      </c>
      <c r="O50" s="19">
        <f t="shared" si="7"/>
        <v>0</v>
      </c>
      <c r="P50" s="19">
        <f t="shared" si="7"/>
        <v>0</v>
      </c>
      <c r="Q50" s="19">
        <f t="shared" si="7"/>
        <v>0</v>
      </c>
    </row>
    <row r="51">
      <c r="E51" s="39" t="s">
        <v>41</v>
      </c>
      <c r="F51" s="44"/>
      <c r="G51" s="44"/>
      <c r="H51" s="44"/>
      <c r="I51" s="46"/>
      <c r="J51" s="46"/>
      <c r="K51" s="46"/>
      <c r="L51" s="46"/>
      <c r="M51" s="46"/>
      <c r="N51" s="46"/>
      <c r="O51" s="46"/>
      <c r="P51" s="46"/>
      <c r="Q51" s="46"/>
    </row>
    <row r="52">
      <c r="E52" s="39" t="s">
        <v>43</v>
      </c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</row>
    <row r="53">
      <c r="E53" s="39" t="s">
        <v>45</v>
      </c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</row>
    <row r="54">
      <c r="E54" s="39" t="s">
        <v>46</v>
      </c>
      <c r="F54" s="44"/>
      <c r="G54" s="44"/>
      <c r="H54" s="44">
        <f>600</f>
        <v>600</v>
      </c>
      <c r="I54" s="44"/>
      <c r="J54" s="44">
        <f>150+375</f>
        <v>525</v>
      </c>
      <c r="K54" s="44"/>
      <c r="L54" s="44">
        <f t="shared" ref="L54:M54" si="8">75*2</f>
        <v>150</v>
      </c>
      <c r="M54" s="44">
        <f t="shared" si="8"/>
        <v>150</v>
      </c>
      <c r="N54" s="44"/>
      <c r="O54" s="44"/>
      <c r="P54" s="44"/>
      <c r="Q54" s="44"/>
    </row>
    <row r="55">
      <c r="E55" s="39" t="s">
        <v>47</v>
      </c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</row>
    <row r="56">
      <c r="E56" s="39" t="s">
        <v>77</v>
      </c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</row>
    <row r="57">
      <c r="E57" s="50" t="s">
        <v>80</v>
      </c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</row>
    <row r="58">
      <c r="E58" s="39" t="s">
        <v>82</v>
      </c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</row>
    <row r="59">
      <c r="E59" s="39" t="s">
        <v>55</v>
      </c>
      <c r="F59" s="44">
        <v>2500.0</v>
      </c>
      <c r="G59" s="44">
        <v>2500.0</v>
      </c>
      <c r="H59" s="44">
        <v>2500.0</v>
      </c>
      <c r="I59" s="44">
        <v>2500.0</v>
      </c>
      <c r="J59" s="44">
        <v>2500.0</v>
      </c>
      <c r="K59" s="44">
        <v>2500.0</v>
      </c>
      <c r="L59" s="44">
        <v>2500.0</v>
      </c>
      <c r="M59" s="44">
        <v>2500.0</v>
      </c>
      <c r="N59" s="44"/>
      <c r="O59" s="44"/>
      <c r="P59" s="44"/>
      <c r="Q59" s="44"/>
    </row>
    <row r="60">
      <c r="E60" s="59" t="s">
        <v>64</v>
      </c>
      <c r="P60" s="69" t="s">
        <v>105</v>
      </c>
    </row>
    <row r="61">
      <c r="D61" s="53"/>
      <c r="E61" s="53" t="s">
        <v>38</v>
      </c>
      <c r="F61" s="91">
        <f t="shared" ref="F61:I61" si="9">SUM(F39,F28,F17,F6,F50)</f>
        <v>15075</v>
      </c>
      <c r="G61" s="91">
        <f t="shared" si="9"/>
        <v>13200</v>
      </c>
      <c r="H61" s="91">
        <f t="shared" si="9"/>
        <v>13800</v>
      </c>
      <c r="I61" s="91">
        <f t="shared" si="9"/>
        <v>13321</v>
      </c>
      <c r="J61" s="91">
        <f>SUM(J39,J28,J17,J6)</f>
        <v>10821</v>
      </c>
      <c r="K61" s="91">
        <f t="shared" ref="K61:M61" si="10">SUM(K39,K28,K17,K6,K50)</f>
        <v>13321</v>
      </c>
      <c r="L61" s="91">
        <f t="shared" si="10"/>
        <v>14471</v>
      </c>
      <c r="M61" s="91">
        <f t="shared" si="10"/>
        <v>14471</v>
      </c>
      <c r="N61" s="91">
        <f t="shared" ref="N61:Q61" si="11">SUM(N39,N28,N17,N6)</f>
        <v>0</v>
      </c>
      <c r="O61" s="91">
        <f t="shared" si="11"/>
        <v>0</v>
      </c>
      <c r="P61" s="91">
        <f t="shared" si="11"/>
        <v>0</v>
      </c>
      <c r="Q61" s="91">
        <f t="shared" si="11"/>
        <v>0</v>
      </c>
    </row>
    <row r="65">
      <c r="I65" s="48"/>
    </row>
    <row r="66">
      <c r="I66" s="48"/>
    </row>
    <row r="67">
      <c r="G67" s="83"/>
      <c r="H67" s="85"/>
      <c r="I67" s="72"/>
      <c r="J67" s="85"/>
    </row>
    <row r="68">
      <c r="H68" s="85"/>
      <c r="I68" s="85"/>
      <c r="J68" s="83"/>
    </row>
    <row r="69">
      <c r="H69" s="85"/>
      <c r="I69" s="85"/>
      <c r="J69" s="85"/>
    </row>
    <row r="70">
      <c r="H70" s="85"/>
      <c r="I70" s="85"/>
      <c r="J70" s="83"/>
    </row>
    <row r="71">
      <c r="H71" s="85"/>
      <c r="I71" s="85"/>
      <c r="J71" s="83"/>
    </row>
    <row r="72">
      <c r="H72" s="85"/>
      <c r="I72" s="85"/>
      <c r="J72" s="83"/>
    </row>
    <row r="73">
      <c r="H73" s="85"/>
      <c r="I73" s="85"/>
      <c r="J73" s="83"/>
    </row>
    <row r="74">
      <c r="H74" s="83"/>
      <c r="I74" s="83"/>
      <c r="J74" s="83"/>
    </row>
  </sheetData>
  <mergeCells count="5">
    <mergeCell ref="D6:D15"/>
    <mergeCell ref="D17:D26"/>
    <mergeCell ref="D28:D37"/>
    <mergeCell ref="D39:D48"/>
    <mergeCell ref="D50:D5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7.0"/>
  </cols>
  <sheetData>
    <row r="3">
      <c r="C3" s="95" t="s">
        <v>112</v>
      </c>
      <c r="D3" s="95" t="s">
        <v>0</v>
      </c>
      <c r="E3" s="95" t="s">
        <v>1</v>
      </c>
      <c r="F3" s="95" t="s">
        <v>2</v>
      </c>
      <c r="G3" s="95" t="s">
        <v>3</v>
      </c>
      <c r="H3" s="95" t="s">
        <v>4</v>
      </c>
      <c r="I3" s="95" t="s">
        <v>5</v>
      </c>
      <c r="J3" s="95" t="s">
        <v>6</v>
      </c>
      <c r="K3" s="95" t="s">
        <v>7</v>
      </c>
      <c r="L3" s="95" t="s">
        <v>8</v>
      </c>
      <c r="M3" s="95" t="s">
        <v>9</v>
      </c>
      <c r="N3" s="95" t="s">
        <v>10</v>
      </c>
      <c r="O3" s="95" t="s">
        <v>11</v>
      </c>
    </row>
    <row r="4">
      <c r="C4" s="39" t="s">
        <v>73</v>
      </c>
      <c r="D4" s="44">
        <v>4500.0</v>
      </c>
      <c r="E4" s="44">
        <v>4500.0</v>
      </c>
      <c r="F4" s="44">
        <v>4500.0</v>
      </c>
      <c r="G4" s="44">
        <v>4500.0</v>
      </c>
      <c r="H4" s="44">
        <v>4500.0</v>
      </c>
      <c r="I4" s="44">
        <v>4500.0</v>
      </c>
      <c r="J4" s="44">
        <v>4500.0</v>
      </c>
      <c r="K4" s="44">
        <v>4500.0</v>
      </c>
      <c r="L4" s="44"/>
      <c r="M4" s="44"/>
      <c r="N4" s="44"/>
      <c r="O4" s="44"/>
    </row>
    <row r="5">
      <c r="C5" s="39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</row>
    <row r="6">
      <c r="C6" s="39" t="s">
        <v>74</v>
      </c>
      <c r="D6" s="44">
        <v>1500.0</v>
      </c>
      <c r="E6" s="44">
        <v>1500.0</v>
      </c>
      <c r="F6" s="44">
        <v>1500.0</v>
      </c>
      <c r="G6" s="44">
        <v>1500.0</v>
      </c>
      <c r="H6" s="44">
        <v>1500.0</v>
      </c>
      <c r="I6" s="44">
        <v>1500.0</v>
      </c>
      <c r="J6" s="44">
        <v>1500.0</v>
      </c>
      <c r="K6" s="44">
        <v>1500.0</v>
      </c>
      <c r="L6" s="44"/>
      <c r="M6" s="44"/>
      <c r="N6" s="44"/>
      <c r="O6" s="44"/>
    </row>
    <row r="7">
      <c r="C7" s="39" t="s">
        <v>34</v>
      </c>
      <c r="D7" s="44">
        <v>998.4</v>
      </c>
      <c r="E7" s="44">
        <v>1000.0</v>
      </c>
      <c r="F7" s="44">
        <v>1000.0</v>
      </c>
      <c r="G7" s="44">
        <v>1000.0</v>
      </c>
      <c r="H7" s="44">
        <v>1000.0</v>
      </c>
      <c r="I7" s="44">
        <v>1000.0</v>
      </c>
      <c r="J7" s="44">
        <v>1000.0</v>
      </c>
      <c r="K7" s="44">
        <v>1000.0</v>
      </c>
      <c r="L7" s="44"/>
      <c r="M7" s="44"/>
      <c r="N7" s="44"/>
      <c r="O7" s="44"/>
    </row>
    <row r="8">
      <c r="C8" s="39" t="s">
        <v>35</v>
      </c>
      <c r="D8" s="44">
        <v>1000.0</v>
      </c>
      <c r="E8" s="44">
        <v>1000.0</v>
      </c>
      <c r="F8" s="44"/>
      <c r="G8" s="44"/>
      <c r="H8" s="44"/>
      <c r="I8" s="44"/>
      <c r="J8" s="44"/>
      <c r="K8" s="44"/>
      <c r="L8" s="44"/>
      <c r="M8" s="44"/>
      <c r="N8" s="44"/>
      <c r="O8" s="44"/>
    </row>
    <row r="9">
      <c r="C9" s="39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</row>
    <row r="10">
      <c r="C10" s="39" t="s">
        <v>38</v>
      </c>
      <c r="D10" s="40">
        <f>SUM(D4:D8)</f>
        <v>7998.4</v>
      </c>
      <c r="E10" s="40">
        <f t="shared" ref="E10:O10" si="1">SUM(E4:E9)</f>
        <v>8000</v>
      </c>
      <c r="F10" s="40">
        <f t="shared" si="1"/>
        <v>7000</v>
      </c>
      <c r="G10" s="40">
        <f t="shared" si="1"/>
        <v>7000</v>
      </c>
      <c r="H10" s="40">
        <f t="shared" si="1"/>
        <v>7000</v>
      </c>
      <c r="I10" s="40">
        <f t="shared" si="1"/>
        <v>7000</v>
      </c>
      <c r="J10" s="40">
        <f t="shared" si="1"/>
        <v>7000</v>
      </c>
      <c r="K10" s="40">
        <f t="shared" si="1"/>
        <v>7000</v>
      </c>
      <c r="L10" s="40">
        <f t="shared" si="1"/>
        <v>0</v>
      </c>
      <c r="M10" s="40">
        <f t="shared" si="1"/>
        <v>0</v>
      </c>
      <c r="N10" s="40">
        <f t="shared" si="1"/>
        <v>0</v>
      </c>
      <c r="O10" s="40">
        <f t="shared" si="1"/>
        <v>0</v>
      </c>
    </row>
    <row r="16">
      <c r="G16" s="39"/>
      <c r="H16" s="44"/>
      <c r="I16" s="46"/>
    </row>
    <row r="17">
      <c r="G17" s="39"/>
      <c r="H17" s="44"/>
      <c r="I17" s="46"/>
    </row>
    <row r="18">
      <c r="G18" s="39"/>
      <c r="H18" s="44"/>
      <c r="I18" s="46"/>
    </row>
    <row r="19">
      <c r="G19" s="39"/>
      <c r="H19" s="44"/>
      <c r="I19" s="46"/>
    </row>
    <row r="20">
      <c r="G20" s="39"/>
      <c r="H20" s="44"/>
      <c r="I20" s="46"/>
    </row>
    <row r="21">
      <c r="G21" s="39"/>
      <c r="H21" s="44"/>
      <c r="I21" s="46"/>
    </row>
    <row r="22">
      <c r="I22" s="46"/>
    </row>
    <row r="23">
      <c r="G23" s="83"/>
      <c r="H23" s="83"/>
      <c r="I23" s="83"/>
    </row>
  </sheetData>
  <drawing r:id="rId1"/>
</worksheet>
</file>