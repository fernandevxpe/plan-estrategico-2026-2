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ernandoxpe/Downloads/"/>
    </mc:Choice>
  </mc:AlternateContent>
  <xr:revisionPtr revIDLastSave="0" documentId="8_{D0862DA7-FAB3-9747-B61A-7C8BD8F202D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luxo de Caixa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4" i="3" l="1"/>
  <c r="N114" i="3"/>
  <c r="M114" i="3"/>
  <c r="L114" i="3"/>
  <c r="O106" i="3"/>
  <c r="N106" i="3"/>
  <c r="N100" i="3" s="1"/>
  <c r="M106" i="3"/>
  <c r="L106" i="3"/>
  <c r="S105" i="3"/>
  <c r="O102" i="3"/>
  <c r="N102" i="3"/>
  <c r="M102" i="3"/>
  <c r="L102" i="3"/>
  <c r="P100" i="3"/>
  <c r="O100" i="3"/>
  <c r="M96" i="3"/>
  <c r="L96" i="3"/>
  <c r="O91" i="3"/>
  <c r="N91" i="3"/>
  <c r="N74" i="3" s="1"/>
  <c r="M91" i="3"/>
  <c r="L91" i="3"/>
  <c r="O76" i="3"/>
  <c r="O74" i="3" s="1"/>
  <c r="N76" i="3"/>
  <c r="M76" i="3"/>
  <c r="L76" i="3"/>
  <c r="L74" i="3" s="1"/>
  <c r="O62" i="3"/>
  <c r="N62" i="3"/>
  <c r="M62" i="3"/>
  <c r="M50" i="3" s="1"/>
  <c r="L62" i="3"/>
  <c r="L50" i="3" s="1"/>
  <c r="N50" i="3"/>
  <c r="O39" i="3"/>
  <c r="N39" i="3"/>
  <c r="M39" i="3"/>
  <c r="L39" i="3"/>
  <c r="P29" i="3"/>
  <c r="O29" i="3"/>
  <c r="N29" i="3"/>
  <c r="M29" i="3"/>
  <c r="L29" i="3"/>
  <c r="P22" i="3"/>
  <c r="O22" i="3"/>
  <c r="N22" i="3"/>
  <c r="M22" i="3"/>
  <c r="L22" i="3"/>
  <c r="P17" i="3"/>
  <c r="O17" i="3"/>
  <c r="N17" i="3"/>
  <c r="M17" i="3"/>
  <c r="L17" i="3"/>
  <c r="P9" i="3"/>
  <c r="O9" i="3"/>
  <c r="N9" i="3"/>
  <c r="M9" i="3"/>
  <c r="L9" i="3"/>
  <c r="O5" i="3" l="1"/>
  <c r="P5" i="3"/>
  <c r="M100" i="3"/>
  <c r="L5" i="3"/>
  <c r="M5" i="3"/>
  <c r="L100" i="3"/>
  <c r="N5" i="3"/>
  <c r="N123" i="3" s="1"/>
  <c r="L123" i="3"/>
  <c r="M123" i="3"/>
  <c r="O123" i="3"/>
  <c r="O50" i="3"/>
  <c r="M74" i="3"/>
  <c r="S109" i="3"/>
  <c r="E147" i="3" l="1"/>
  <c r="E148" i="3" s="1"/>
  <c r="E154" i="3"/>
  <c r="E155" i="3" s="1"/>
  <c r="F147" i="3"/>
  <c r="F148" i="3" s="1"/>
  <c r="F149" i="3" l="1"/>
  <c r="F150" i="3" l="1"/>
  <c r="E149" i="3"/>
  <c r="E156" i="3"/>
  <c r="E150" i="3" l="1"/>
  <c r="F151" i="3"/>
  <c r="F152" i="3"/>
  <c r="E151" i="3" l="1"/>
  <c r="E157" i="3" s="1"/>
  <c r="E158" i="3" s="1"/>
  <c r="E152" i="3"/>
</calcChain>
</file>

<file path=xl/sharedStrings.xml><?xml version="1.0" encoding="utf-8"?>
<sst xmlns="http://schemas.openxmlformats.org/spreadsheetml/2006/main" count="143" uniqueCount="135">
  <si>
    <t>s</t>
  </si>
  <si>
    <t xml:space="preserve">Período  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</si>
  <si>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</si>
  <si>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</si>
  <si>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</si>
  <si>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</si>
  <si>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</si>
  <si>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</si>
  <si>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</si>
  <si>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</si>
  <si>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</si>
  <si>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</si>
  <si>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</si>
  <si>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</si>
  <si>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Qtd de Condomínios Atendidos</t>
  </si>
  <si>
    <t>Fontes de Receita (+)</t>
  </si>
  <si>
    <t>Assinaturas/Usuário</t>
  </si>
  <si>
    <t>1. Assinatura (Low Cost)</t>
  </si>
  <si>
    <t>Monitor BT - Monofásico 50A</t>
  </si>
  <si>
    <t>Monitor BT - Trifásico 50/100A</t>
  </si>
  <si>
    <t>Monitor BT/AT - Trifásico 600A</t>
  </si>
  <si>
    <t>Gateways</t>
  </si>
  <si>
    <t xml:space="preserve"> </t>
  </si>
  <si>
    <t>Fatufácil</t>
  </si>
  <si>
    <t>SPREAD - Médio/Usuário</t>
  </si>
  <si>
    <t>2.1 Locação de Usinas</t>
  </si>
  <si>
    <t>Locação de Usinas - Lotes/PJ/PF - [B2B]</t>
  </si>
  <si>
    <t>Adiantamento da Licença - [BRA]</t>
  </si>
  <si>
    <t>Comissão Setta</t>
  </si>
  <si>
    <t>Ticket Médio/Usuário</t>
  </si>
  <si>
    <t>2. Licenças de Hardware</t>
  </si>
  <si>
    <t>Qtd de Novos Dispositivos Licenciados</t>
  </si>
  <si>
    <t>Licença de Medidores Vendidos</t>
  </si>
  <si>
    <t>Energy Management as a Service</t>
  </si>
  <si>
    <t>Mensalidades Recuperadas</t>
  </si>
  <si>
    <t>Adequação Tarifária / Correção de Fator de Potência</t>
  </si>
  <si>
    <t>Consultorias Avulsas</t>
  </si>
  <si>
    <t>Obras</t>
  </si>
  <si>
    <t>Impostos</t>
  </si>
  <si>
    <t>Qtd de Dispositivos Licenciados na Base</t>
  </si>
  <si>
    <t>Consultoria Condomínios</t>
  </si>
  <si>
    <t>3. Consultorias com Base em Economia</t>
  </si>
  <si>
    <t>Auditorias de Solar e Mercado Livre</t>
  </si>
  <si>
    <t>Comissão Mercado Livre</t>
  </si>
  <si>
    <t>4. Usina Solar (Comissão de Vendas)</t>
  </si>
  <si>
    <t>Indicação e Orçamentos de Usina Solar</t>
  </si>
  <si>
    <t>5. Profissionais Autônomos</t>
  </si>
  <si>
    <t>Locação de Micromedidores Inteligentes</t>
  </si>
  <si>
    <t>Relatórios - Análise de Dados e Propostas</t>
  </si>
  <si>
    <t>Aluguel do Analisador  de Energia</t>
  </si>
  <si>
    <t>7. FIN-ENERGYTECH (Mercado Livre)</t>
  </si>
  <si>
    <t>Billing - Faturamento Locação de Usinas</t>
  </si>
  <si>
    <t>Gateway/Split de Pagamento de Serviços</t>
  </si>
  <si>
    <t>Churn, Inadimplência, Depreciação e Impostos (-)</t>
  </si>
  <si>
    <t>Churn</t>
  </si>
  <si>
    <t xml:space="preserve">Churn Rate (%) </t>
  </si>
  <si>
    <t>Custos Variáveis</t>
  </si>
  <si>
    <t>Nº Clientes Cancelados</t>
  </si>
  <si>
    <t>Receita Perdida (Churn)</t>
  </si>
  <si>
    <t>Inadimplência</t>
  </si>
  <si>
    <t>Percentual da Receita</t>
  </si>
  <si>
    <t>Valor da Receita</t>
  </si>
  <si>
    <t>Nº Clientes Inadimplentes</t>
  </si>
  <si>
    <t xml:space="preserve">Impostos </t>
  </si>
  <si>
    <t>% Sobre o Faturamento (Simples Nacional)</t>
  </si>
  <si>
    <t>Simples Nacional</t>
  </si>
  <si>
    <t>Parcelamento IRPJ e CSLL</t>
  </si>
  <si>
    <t>INSS</t>
  </si>
  <si>
    <t>CIM</t>
  </si>
  <si>
    <t>Depreciação</t>
  </si>
  <si>
    <t>Depreciação, Amortização e Reparo sobre Hardwares</t>
  </si>
  <si>
    <t>Despesa Financeira</t>
  </si>
  <si>
    <t>Pagamento do Empréstimo Inter</t>
  </si>
  <si>
    <t>Pagamento do Empréstimo Caixa</t>
  </si>
  <si>
    <t>Tarifas Bancárias</t>
  </si>
  <si>
    <t>Custos Operação (-)</t>
  </si>
  <si>
    <t>CAC - Custo de Aquisição do Cliente Total</t>
  </si>
  <si>
    <t>Custo de Aquisição de Cliente (Vendas)</t>
  </si>
  <si>
    <t>Compra de Placas para SMTF</t>
  </si>
  <si>
    <t>Componentes e Garras para para SMTF</t>
  </si>
  <si>
    <t>Impostos Sobre Compra de Medidores e Importações</t>
  </si>
  <si>
    <t>Custo de Aquisição de Ferramentas (Gerais e dia a dia)</t>
  </si>
  <si>
    <t>Custo de Material para Projetos/Execução</t>
  </si>
  <si>
    <t>Execução de projetos de eletrocalha/projetos de terceiros</t>
  </si>
  <si>
    <t>Execução de Ampliações de CDMs</t>
  </si>
  <si>
    <t>Execução de projetos de controle de carga</t>
  </si>
  <si>
    <t>Custo de Operação, Manutenção Cloud</t>
  </si>
  <si>
    <t>Margem Bruta</t>
  </si>
  <si>
    <t>Custo de Operação do Serviço (Cloud)</t>
  </si>
  <si>
    <t>Custo Recargas</t>
  </si>
  <si>
    <t>Custos de Gestão, Faturamento, NF e Backup</t>
  </si>
  <si>
    <t>Gestão Asaas</t>
  </si>
  <si>
    <t>Custo de emissão de nf-e</t>
  </si>
  <si>
    <t>Custos Fixos (-)</t>
  </si>
  <si>
    <t>Margem Ebitda</t>
  </si>
  <si>
    <t>Escritório, Jurídico, Contábil e Outros</t>
  </si>
  <si>
    <t>Escritório (água, luz, internet, energia, infra. e copa)</t>
  </si>
  <si>
    <t>Patrocinios Eventos</t>
  </si>
  <si>
    <t>Jurídico e Contábil</t>
  </si>
  <si>
    <t>Margem Líquida</t>
  </si>
  <si>
    <t>Material Escritório</t>
  </si>
  <si>
    <t>Ajuda de Custos</t>
  </si>
  <si>
    <t>Equipe Base (Hardware, Software, Mkt-Vendas)</t>
  </si>
  <si>
    <t>Gestão de Trafégo e Rede sociais</t>
  </si>
  <si>
    <t>Investimento em Mídia</t>
  </si>
  <si>
    <t>Alimentação, Transporte e Reembolsos</t>
  </si>
  <si>
    <t>Comissões e Taxas de Parceiros</t>
  </si>
  <si>
    <t>Custos Váriaveis</t>
  </si>
  <si>
    <t>Cartão de Crédito</t>
  </si>
  <si>
    <t>Reforma da Sala</t>
  </si>
  <si>
    <t>Ebitda (+)</t>
  </si>
  <si>
    <t>Faturamento Total</t>
  </si>
  <si>
    <t>Custos Fixos</t>
  </si>
  <si>
    <t>Custo de Operação</t>
  </si>
  <si>
    <t>FCFF (+)</t>
  </si>
  <si>
    <t>FCFF/RB</t>
  </si>
  <si>
    <t>EBITDA</t>
  </si>
  <si>
    <t>EBIT</t>
  </si>
  <si>
    <t>Compra de Placas para Gateways</t>
  </si>
  <si>
    <t>Compra de Placas para o Controlador de Carregadores</t>
  </si>
  <si>
    <t>Componentes em geral</t>
  </si>
  <si>
    <t>Materiais de Obras</t>
  </si>
  <si>
    <t>Custo ARTs</t>
  </si>
  <si>
    <t>Custo Kore/lyra</t>
  </si>
  <si>
    <t>Adiantamento de Lucro Obras</t>
  </si>
  <si>
    <t>Alimentação, transporte e Reembolso de Obras</t>
  </si>
  <si>
    <t>Equipe Obras</t>
  </si>
  <si>
    <t>Despesas Administrativas do Time</t>
  </si>
  <si>
    <t>Investimento em Eventos</t>
  </si>
  <si>
    <t>Margem EBTIDA</t>
  </si>
  <si>
    <t>Despesas Financeiras</t>
  </si>
  <si>
    <t xml:space="preserve">Margem Líquida </t>
  </si>
  <si>
    <t>8. Aplicações</t>
  </si>
  <si>
    <t>Ebtida</t>
  </si>
  <si>
    <t>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</si>
</sst>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 -416]#,##0.0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8"/>
      <color rgb="FFFFFFFF"/>
      <name val="Montserrat"/>
    </font>
    <font>
      <b/>
      <sz val="11"/>
      <color rgb="FFFFFFFF"/>
      <name val="Montserrat"/>
    </font>
    <font>
      <b/>
      <sz val="6"/>
      <color rgb="FF434343"/>
      <name val="Montserrat"/>
    </font>
    <font>
      <sz val="8"/>
      <color rgb="FFFFFFFF"/>
      <name val="Montserrat"/>
    </font>
    <font>
      <b/>
      <sz val="10"/>
      <color theme="1"/>
      <name val="Montserrat"/>
    </font>
    <font>
      <b/>
      <sz val="12"/>
      <color theme="1"/>
      <name val="Montserrat"/>
    </font>
    <font>
      <sz val="10"/>
      <color theme="1"/>
      <name val="Montserrat"/>
    </font>
    <font>
      <b/>
      <sz val="10"/>
      <color rgb="FF7618B5"/>
      <name val="Montserrat"/>
    </font>
    <font>
      <b/>
      <sz val="10"/>
      <color rgb="FF01C374"/>
      <name val="Montserrat"/>
    </font>
    <font>
      <sz val="10"/>
      <color rgb="FF434343"/>
      <name val="Montserrat"/>
    </font>
    <font>
      <b/>
      <sz val="12"/>
      <color rgb="FFFFFFFF"/>
      <name val="Montserrat"/>
    </font>
    <font>
      <b/>
      <sz val="12"/>
      <color rgb="FF980000"/>
      <name val="Montserrat"/>
    </font>
    <font>
      <b/>
      <sz val="10"/>
      <color rgb="FF242424"/>
      <name val="Montserrat"/>
    </font>
    <font>
      <sz val="10"/>
      <color rgb="FF7618B5"/>
      <name val="Montserrat"/>
    </font>
    <font>
      <sz val="10"/>
      <color rgb="FF252525"/>
      <name val="Montserrat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71F88A"/>
        <bgColor rgb="FF71F88A"/>
      </patternFill>
    </fill>
    <fill>
      <patternFill patternType="solid">
        <fgColor rgb="FF995DCC"/>
        <bgColor rgb="FF995DCC"/>
      </patternFill>
    </fill>
    <fill>
      <patternFill patternType="solid">
        <fgColor rgb="FF242424"/>
        <bgColor rgb="FF242424"/>
      </patternFill>
    </fill>
    <fill>
      <patternFill patternType="solid">
        <fgColor rgb="FFEF6461"/>
        <bgColor rgb="FFEF6461"/>
      </patternFill>
    </fill>
    <fill>
      <patternFill patternType="solid">
        <fgColor rgb="FF87F1FF"/>
        <bgColor rgb="FF87F1FF"/>
      </patternFill>
    </fill>
    <fill>
      <patternFill patternType="solid">
        <fgColor rgb="FFB436C7"/>
        <bgColor rgb="FFB436C7"/>
      </patternFill>
    </fill>
    <fill>
      <patternFill patternType="solid">
        <fgColor rgb="FF351C75"/>
        <bgColor rgb="FF351C7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center"/>
    </xf>
    <xf numFmtId="0" fontId="1" fillId="3" borderId="0" xfId="0" applyFont="1" applyFill="1"/>
    <xf numFmtId="0" fontId="6" fillId="3" borderId="0" xfId="0" applyFont="1" applyFill="1" applyAlignment="1">
      <alignment horizontal="right"/>
    </xf>
    <xf numFmtId="3" fontId="6" fillId="3" borderId="0" xfId="0" applyNumberFormat="1" applyFont="1" applyFill="1" applyAlignment="1">
      <alignment horizontal="center"/>
    </xf>
    <xf numFmtId="0" fontId="1" fillId="4" borderId="0" xfId="0" applyFont="1" applyFill="1"/>
    <xf numFmtId="0" fontId="7" fillId="4" borderId="0" xfId="0" applyFont="1" applyFill="1" applyAlignment="1">
      <alignment horizontal="right"/>
    </xf>
    <xf numFmtId="164" fontId="6" fillId="4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4" fontId="1" fillId="0" borderId="0" xfId="0" applyNumberFormat="1" applyFont="1"/>
    <xf numFmtId="0" fontId="9" fillId="0" borderId="0" xfId="0" applyFont="1" applyAlignment="1">
      <alignment horizontal="right"/>
    </xf>
    <xf numFmtId="0" fontId="1" fillId="6" borderId="0" xfId="0" applyFont="1" applyFill="1"/>
    <xf numFmtId="0" fontId="10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" fillId="0" borderId="1" xfId="0" applyFont="1" applyBorder="1"/>
    <xf numFmtId="0" fontId="8" fillId="0" borderId="1" xfId="0" applyFont="1" applyBorder="1" applyAlignment="1">
      <alignment horizontal="right"/>
    </xf>
    <xf numFmtId="164" fontId="8" fillId="0" borderId="1" xfId="0" applyNumberFormat="1" applyFont="1" applyBorder="1" applyAlignment="1">
      <alignment horizontal="center"/>
    </xf>
    <xf numFmtId="0" fontId="1" fillId="7" borderId="0" xfId="0" applyFont="1" applyFill="1"/>
    <xf numFmtId="0" fontId="12" fillId="7" borderId="0" xfId="0" applyFont="1" applyFill="1"/>
    <xf numFmtId="164" fontId="12" fillId="7" borderId="0" xfId="0" applyNumberFormat="1" applyFont="1" applyFill="1" applyAlignment="1">
      <alignment horizontal="center"/>
    </xf>
    <xf numFmtId="0" fontId="13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1" fillId="8" borderId="0" xfId="0" applyFont="1" applyFill="1"/>
    <xf numFmtId="0" fontId="7" fillId="8" borderId="0" xfId="0" applyFont="1" applyFill="1" applyAlignment="1">
      <alignment horizontal="right"/>
    </xf>
    <xf numFmtId="164" fontId="7" fillId="8" borderId="0" xfId="0" applyNumberFormat="1" applyFont="1" applyFill="1" applyAlignment="1">
      <alignment horizontal="center"/>
    </xf>
    <xf numFmtId="0" fontId="1" fillId="5" borderId="0" xfId="0" applyFont="1" applyFill="1"/>
    <xf numFmtId="0" fontId="12" fillId="5" borderId="0" xfId="0" applyFont="1" applyFill="1" applyAlignment="1">
      <alignment horizontal="right"/>
    </xf>
    <xf numFmtId="164" fontId="12" fillId="5" borderId="0" xfId="0" applyNumberFormat="1" applyFont="1" applyFill="1" applyAlignment="1">
      <alignment horizontal="center"/>
    </xf>
    <xf numFmtId="0" fontId="1" fillId="9" borderId="0" xfId="0" applyFont="1" applyFill="1"/>
    <xf numFmtId="0" fontId="12" fillId="9" borderId="0" xfId="0" applyFont="1" applyFill="1" applyAlignment="1">
      <alignment horizontal="right"/>
    </xf>
    <xf numFmtId="164" fontId="12" fillId="9" borderId="0" xfId="0" applyNumberFormat="1" applyFont="1" applyFill="1" applyAlignment="1">
      <alignment horizontal="center"/>
    </xf>
    <xf numFmtId="0" fontId="14" fillId="0" borderId="1" xfId="0" applyFont="1" applyBorder="1" applyAlignment="1">
      <alignment horizontal="right"/>
    </xf>
    <xf numFmtId="164" fontId="8" fillId="5" borderId="0" xfId="0" applyNumberFormat="1" applyFont="1" applyFill="1" applyAlignment="1">
      <alignment horizontal="center"/>
    </xf>
    <xf numFmtId="0" fontId="15" fillId="0" borderId="0" xfId="0" applyFont="1" applyAlignment="1">
      <alignment horizontal="right"/>
    </xf>
    <xf numFmtId="0" fontId="16" fillId="0" borderId="1" xfId="0" applyFont="1" applyBorder="1" applyAlignment="1">
      <alignment horizontal="right"/>
    </xf>
    <xf numFmtId="0" fontId="1" fillId="10" borderId="0" xfId="0" applyFont="1" applyFill="1"/>
    <xf numFmtId="0" fontId="12" fillId="10" borderId="0" xfId="0" applyFont="1" applyFill="1" applyAlignment="1">
      <alignment horizontal="right"/>
    </xf>
    <xf numFmtId="164" fontId="8" fillId="10" borderId="0" xfId="0" applyNumberFormat="1" applyFont="1" applyFill="1" applyAlignment="1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showGridLines="0" tabSelected="1" workbookViewId="0">
      <pane xSplit="4" ySplit="3" topLeftCell="E108" activePane="bottomRight" state="frozen"/>
      <selection pane="topRight" activeCell="E1" sqref="E1"/>
      <selection pane="bottomLeft" activeCell="A4" sqref="A4"/>
      <selection pane="bottomRight" activeCell="H15" sqref="H15"/>
    </sheetView>
  </sheetViews>
  <sheetFormatPr baseColWidth="10" defaultColWidth="12.6640625" defaultRowHeight="15.75" customHeight="1" outlineLevelRow="1" x14ac:dyDescent="0.15"/>
  <cols>
    <col min="1" max="1" width="6.6640625" customWidth="1"/>
    <col min="3" max="3" width="22.6640625" customWidth="1"/>
    <col min="4" max="4" width="42.6640625" customWidth="1"/>
    <col min="5" max="6" width="14.6640625" customWidth="1"/>
    <col min="7" max="7" width="13.83203125" customWidth="1"/>
    <col min="8" max="8" width="14" customWidth="1"/>
    <col min="9" max="9" width="13.6640625" customWidth="1"/>
    <col min="10" max="10" width="14.1640625" customWidth="1"/>
    <col min="11" max="11" width="13.83203125" customWidth="1"/>
    <col min="12" max="12" width="14.1640625" customWidth="1"/>
    <col min="13" max="14" width="14" customWidth="1"/>
    <col min="15" max="16" width="14.1640625" customWidth="1"/>
  </cols>
  <sheetData>
    <row r="1" spans="1:27" ht="13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x14ac:dyDescent="0.3">
      <c r="A2" s="1"/>
      <c r="B2" s="2"/>
      <c r="C2" s="2"/>
      <c r="D2" s="3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2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 x14ac:dyDescent="0.15">
      <c r="A3" s="1"/>
      <c r="B3" s="2"/>
      <c r="C3" s="2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" x14ac:dyDescent="0.2">
      <c r="A4" s="1"/>
      <c r="B4" s="2"/>
      <c r="C4" s="7"/>
      <c r="D4" s="8" t="s">
        <v>14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2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1"/>
      <c r="B5" s="2"/>
      <c r="C5" s="10"/>
      <c r="D5" s="11" t="s">
        <v>15</v>
      </c>
      <c r="E5" s="12">
        <v>137785.29</v>
      </c>
      <c r="F5" s="12">
        <v>150232.98000000001</v>
      </c>
      <c r="G5" s="12">
        <v>252421.33</v>
      </c>
      <c r="H5" s="12">
        <v>152659.51999999999</v>
      </c>
      <c r="I5" s="12">
        <v>152140.38</v>
      </c>
      <c r="J5" s="12">
        <v>184807.75</v>
      </c>
      <c r="K5" s="12">
        <v>216059.6</v>
      </c>
      <c r="L5" s="12">
        <f t="shared" ref="E5:P5" si="0">SUM(L9,L17,L22,L29,L36,L39)</f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2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" x14ac:dyDescent="0.2">
      <c r="A6" s="1"/>
      <c r="B6" s="2"/>
      <c r="C6" s="1"/>
      <c r="D6" s="1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2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" x14ac:dyDescent="0.2">
      <c r="B7" s="2"/>
      <c r="C7" s="1"/>
      <c r="D7" s="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" x14ac:dyDescent="0.2">
      <c r="B8" s="2"/>
      <c r="C8" s="1"/>
      <c r="D8" s="1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2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" x14ac:dyDescent="0.2">
      <c r="B9" s="2"/>
      <c r="C9" s="14" t="s">
        <v>16</v>
      </c>
      <c r="D9" s="14" t="s">
        <v>17</v>
      </c>
      <c r="E9" s="15">
        <v>5537.17</v>
      </c>
      <c r="F9" s="15">
        <v>4347.17</v>
      </c>
      <c r="G9" s="15">
        <v>7227.17</v>
      </c>
      <c r="H9" s="15">
        <v>4500.34</v>
      </c>
      <c r="I9" s="15">
        <v>4730.9799999999996</v>
      </c>
      <c r="J9" s="15">
        <v>4899.37</v>
      </c>
      <c r="K9" s="15">
        <v>5106.58</v>
      </c>
      <c r="L9" s="15">
        <f t="shared" ref="E9:P9" si="1">SUM(L10:L15)</f>
        <v>0</v>
      </c>
      <c r="M9" s="15">
        <f t="shared" si="1"/>
        <v>0</v>
      </c>
      <c r="N9" s="15">
        <f t="shared" si="1"/>
        <v>0</v>
      </c>
      <c r="O9" s="15">
        <f t="shared" si="1"/>
        <v>0</v>
      </c>
      <c r="P9" s="15">
        <f t="shared" si="1"/>
        <v>0</v>
      </c>
      <c r="Q9" s="2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" x14ac:dyDescent="0.2">
      <c r="B10" s="2"/>
      <c r="C10" s="16">
        <v>29.9</v>
      </c>
      <c r="D10" s="17" t="s">
        <v>18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" x14ac:dyDescent="0.2">
      <c r="A11" s="1"/>
      <c r="B11" s="2"/>
      <c r="C11" s="16">
        <v>49.9</v>
      </c>
      <c r="D11" s="17" t="s">
        <v>19</v>
      </c>
      <c r="E11" s="13">
        <v>4057.17</v>
      </c>
      <c r="F11" s="13">
        <v>4057.17</v>
      </c>
      <c r="G11" s="13">
        <v>4057.17</v>
      </c>
      <c r="H11" s="13">
        <v>2560.34</v>
      </c>
      <c r="I11" s="13">
        <v>2790.98</v>
      </c>
      <c r="J11" s="13">
        <v>2959.37</v>
      </c>
      <c r="K11" s="13">
        <v>4986.58</v>
      </c>
      <c r="L11" s="13"/>
      <c r="M11" s="13"/>
      <c r="N11" s="13"/>
      <c r="O11" s="13"/>
      <c r="P11" s="13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" x14ac:dyDescent="0.2">
      <c r="A12" s="1"/>
      <c r="B12" s="2"/>
      <c r="C12" s="16">
        <v>89.9</v>
      </c>
      <c r="D12" s="17" t="s">
        <v>20</v>
      </c>
      <c r="E12" s="13">
        <v>120</v>
      </c>
      <c r="F12" s="13">
        <v>120</v>
      </c>
      <c r="G12" s="13">
        <v>120</v>
      </c>
      <c r="H12" s="13">
        <v>120</v>
      </c>
      <c r="I12" s="13">
        <v>120</v>
      </c>
      <c r="J12" s="13">
        <v>120</v>
      </c>
      <c r="K12" s="13">
        <v>120</v>
      </c>
      <c r="L12" s="13"/>
      <c r="M12" s="13"/>
      <c r="N12" s="13"/>
      <c r="O12" s="13"/>
      <c r="P12" s="13"/>
      <c r="Q12" s="2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" x14ac:dyDescent="0.2">
      <c r="A13" s="1"/>
      <c r="B13" s="2"/>
      <c r="C13" s="16"/>
      <c r="D13" s="17" t="s">
        <v>21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" x14ac:dyDescent="0.2">
      <c r="A14" s="1"/>
      <c r="B14" s="2"/>
      <c r="C14" s="1" t="s">
        <v>22</v>
      </c>
      <c r="D14" s="17" t="s">
        <v>23</v>
      </c>
      <c r="E14" s="13">
        <v>1360</v>
      </c>
      <c r="F14" s="13">
        <v>170</v>
      </c>
      <c r="G14" s="13">
        <v>3050</v>
      </c>
      <c r="H14" s="13">
        <v>1820</v>
      </c>
      <c r="I14" s="13">
        <v>1820</v>
      </c>
      <c r="J14" s="13">
        <v>1820</v>
      </c>
      <c r="K14" s="13"/>
      <c r="L14" s="13"/>
      <c r="M14" s="13"/>
      <c r="N14" s="13"/>
      <c r="O14" s="13"/>
      <c r="P14" s="13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" x14ac:dyDescent="0.2">
      <c r="A15" s="1"/>
      <c r="B15" s="2"/>
      <c r="C15" s="1"/>
      <c r="D15" s="17" t="s">
        <v>34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" x14ac:dyDescent="0.2">
      <c r="A16" s="1"/>
      <c r="B16" s="2"/>
      <c r="C16" s="1"/>
      <c r="D16" s="17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" x14ac:dyDescent="0.2">
      <c r="A17" s="1"/>
      <c r="B17" s="2"/>
      <c r="C17" s="14" t="s">
        <v>24</v>
      </c>
      <c r="D17" s="14" t="s">
        <v>25</v>
      </c>
      <c r="E17" s="15">
        <v>16919.05</v>
      </c>
      <c r="F17" s="15">
        <v>19790.28</v>
      </c>
      <c r="G17" s="15">
        <v>14621.87</v>
      </c>
      <c r="H17" s="15">
        <v>12650.35</v>
      </c>
      <c r="I17" s="15">
        <v>14320.37</v>
      </c>
      <c r="J17" s="15">
        <v>16032.63</v>
      </c>
      <c r="K17" s="15">
        <v>15278.75</v>
      </c>
      <c r="L17" s="15">
        <f t="shared" ref="E17:P17" si="2">SUM(L18:L20)</f>
        <v>0</v>
      </c>
      <c r="M17" s="15">
        <f t="shared" si="2"/>
        <v>0</v>
      </c>
      <c r="N17" s="15">
        <f t="shared" si="2"/>
        <v>0</v>
      </c>
      <c r="O17" s="15">
        <f t="shared" si="2"/>
        <v>0</v>
      </c>
      <c r="P17" s="15">
        <f t="shared" si="2"/>
        <v>0</v>
      </c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" x14ac:dyDescent="0.2">
      <c r="A18" s="1"/>
      <c r="B18" s="2"/>
      <c r="C18" s="16"/>
      <c r="D18" s="17" t="s">
        <v>26</v>
      </c>
      <c r="E18" s="13">
        <v>16919.05</v>
      </c>
      <c r="F18" s="13">
        <v>19790.28</v>
      </c>
      <c r="G18" s="13">
        <v>14621.87</v>
      </c>
      <c r="H18" s="13">
        <v>12650.35</v>
      </c>
      <c r="I18" s="13">
        <v>14320.37</v>
      </c>
      <c r="J18" s="13">
        <v>16032.63</v>
      </c>
      <c r="K18" s="13">
        <v>15278.75</v>
      </c>
      <c r="L18" s="13"/>
      <c r="M18" s="13"/>
      <c r="N18" s="19"/>
      <c r="O18" s="13"/>
      <c r="P18" s="13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" x14ac:dyDescent="0.2">
      <c r="A19" s="1"/>
      <c r="B19" s="2"/>
      <c r="C19" s="1"/>
      <c r="D19" s="17" t="s">
        <v>27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" x14ac:dyDescent="0.2">
      <c r="A20" s="1"/>
      <c r="B20" s="2"/>
      <c r="C20" s="1"/>
      <c r="D20" s="17" t="s">
        <v>28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" x14ac:dyDescent="0.2">
      <c r="A21" s="1"/>
      <c r="B21" s="2"/>
      <c r="C21" s="1"/>
      <c r="D21" s="1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" x14ac:dyDescent="0.2">
      <c r="A22" s="1"/>
      <c r="B22" s="2"/>
      <c r="C22" s="22" t="s">
        <v>29</v>
      </c>
      <c r="D22" s="22" t="s">
        <v>30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f t="shared" ref="L22:P22" si="3">SUM(L25,L26)</f>
        <v>0</v>
      </c>
      <c r="M22" s="15">
        <f t="shared" si="3"/>
        <v>0</v>
      </c>
      <c r="N22" s="15">
        <f t="shared" si="3"/>
        <v>0</v>
      </c>
      <c r="O22" s="15">
        <f t="shared" si="3"/>
        <v>0</v>
      </c>
      <c r="P22" s="15">
        <f t="shared" si="3"/>
        <v>0</v>
      </c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" x14ac:dyDescent="0.2">
      <c r="A23" s="1"/>
      <c r="B23" s="2"/>
      <c r="C23" s="23"/>
      <c r="D23" s="24" t="s">
        <v>39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" x14ac:dyDescent="0.2">
      <c r="A24" s="1"/>
      <c r="B24" s="2"/>
      <c r="C24" s="1"/>
      <c r="D24" s="17" t="s">
        <v>31</v>
      </c>
      <c r="E24" s="20"/>
      <c r="F24" s="20"/>
      <c r="G24" s="20"/>
      <c r="H24" s="20"/>
      <c r="I24" s="20"/>
      <c r="J24" s="20"/>
      <c r="K24" s="20"/>
      <c r="L24" s="20"/>
      <c r="M24" s="20"/>
      <c r="N24" s="13"/>
      <c r="O24" s="20"/>
      <c r="P24" s="20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" x14ac:dyDescent="0.2">
      <c r="A25" s="1"/>
      <c r="B25" s="2"/>
      <c r="C25" s="21"/>
      <c r="D25" s="17" t="s">
        <v>32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" x14ac:dyDescent="0.2">
      <c r="A26" s="1"/>
      <c r="B26" s="2"/>
      <c r="C26" s="1"/>
      <c r="D26" s="17" t="s">
        <v>33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" x14ac:dyDescent="0.2">
      <c r="A27" s="1"/>
      <c r="B27" s="2"/>
      <c r="C27" s="1"/>
      <c r="D27" s="17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" x14ac:dyDescent="0.2">
      <c r="A28" s="1"/>
      <c r="B28" s="2"/>
      <c r="C28" s="1"/>
      <c r="D28" s="1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" x14ac:dyDescent="0.2">
      <c r="A29" s="1"/>
      <c r="B29" s="2"/>
      <c r="C29" s="14" t="s">
        <v>29</v>
      </c>
      <c r="D29" s="14" t="s">
        <v>41</v>
      </c>
      <c r="E29" s="15">
        <v>115329.07</v>
      </c>
      <c r="F29" s="15">
        <v>126095.53</v>
      </c>
      <c r="G29" s="15">
        <v>230572.29</v>
      </c>
      <c r="H29" s="15">
        <v>135508.82999999999</v>
      </c>
      <c r="I29" s="15">
        <v>133089.03</v>
      </c>
      <c r="J29" s="15">
        <v>163875.75</v>
      </c>
      <c r="K29" s="15">
        <v>195674.27</v>
      </c>
      <c r="L29" s="15">
        <f t="shared" ref="E29:P29" si="4">SUM(L30:L35)</f>
        <v>0</v>
      </c>
      <c r="M29" s="15">
        <f t="shared" si="4"/>
        <v>0</v>
      </c>
      <c r="N29" s="15">
        <f t="shared" si="4"/>
        <v>0</v>
      </c>
      <c r="O29" s="15">
        <f t="shared" si="4"/>
        <v>0</v>
      </c>
      <c r="P29" s="15">
        <f t="shared" si="4"/>
        <v>0</v>
      </c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" x14ac:dyDescent="0.2">
      <c r="A30" s="1"/>
      <c r="B30" s="2"/>
      <c r="C30" s="21"/>
      <c r="D30" s="17" t="s">
        <v>35</v>
      </c>
      <c r="E30" s="13"/>
      <c r="F30" s="13">
        <v>2000</v>
      </c>
      <c r="G30" s="13">
        <v>2000</v>
      </c>
      <c r="H30" s="13"/>
      <c r="I30" s="13"/>
      <c r="J30" s="13"/>
      <c r="K30" s="13"/>
      <c r="L30" s="13"/>
      <c r="M30" s="13"/>
      <c r="N30" s="13"/>
      <c r="O30" s="13"/>
      <c r="P30" s="13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" x14ac:dyDescent="0.2">
      <c r="A31" s="1"/>
      <c r="B31" s="2"/>
      <c r="C31" s="1"/>
      <c r="D31" s="17" t="s">
        <v>36</v>
      </c>
      <c r="E31" s="13"/>
      <c r="F31" s="13">
        <v>6600</v>
      </c>
      <c r="G31" s="13">
        <v>3500</v>
      </c>
      <c r="H31" s="13"/>
      <c r="I31" s="13">
        <v>3500</v>
      </c>
      <c r="J31" s="13"/>
      <c r="K31" s="13"/>
      <c r="L31" s="13"/>
      <c r="M31" s="13"/>
      <c r="N31" s="13"/>
      <c r="O31" s="13"/>
      <c r="P31" s="13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" x14ac:dyDescent="0.2">
      <c r="A32" s="1"/>
      <c r="B32" s="2"/>
      <c r="C32" s="1"/>
      <c r="D32" s="17" t="s">
        <v>37</v>
      </c>
      <c r="E32" s="13">
        <v>45693.65</v>
      </c>
      <c r="F32" s="13">
        <v>52832.2</v>
      </c>
      <c r="G32" s="13">
        <v>87981.15</v>
      </c>
      <c r="H32" s="13">
        <v>50235.5</v>
      </c>
      <c r="I32" s="13">
        <v>28895.86</v>
      </c>
      <c r="J32" s="13">
        <v>40998</v>
      </c>
      <c r="K32" s="13">
        <v>85517.92</v>
      </c>
      <c r="L32" s="13"/>
      <c r="M32" s="13"/>
      <c r="N32" s="13"/>
      <c r="O32" s="13"/>
      <c r="P32" s="13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" x14ac:dyDescent="0.2">
      <c r="A33" s="1"/>
      <c r="B33" s="2"/>
      <c r="C33" s="1"/>
      <c r="D33" s="17" t="s">
        <v>40</v>
      </c>
      <c r="E33" s="13">
        <v>64013.4</v>
      </c>
      <c r="F33" s="13">
        <v>61863.33</v>
      </c>
      <c r="G33" s="13">
        <v>132185.01</v>
      </c>
      <c r="H33" s="13">
        <v>83473.33</v>
      </c>
      <c r="I33" s="13">
        <v>95803.32</v>
      </c>
      <c r="J33" s="13">
        <v>117943.32</v>
      </c>
      <c r="K33" s="13">
        <v>108356.35</v>
      </c>
      <c r="L33" s="13"/>
      <c r="M33" s="13"/>
      <c r="N33" s="13"/>
      <c r="O33" s="13"/>
      <c r="P33" s="13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" x14ac:dyDescent="0.2">
      <c r="A34" s="1"/>
      <c r="B34" s="2"/>
      <c r="C34" s="1"/>
      <c r="D34" s="17" t="s">
        <v>42</v>
      </c>
      <c r="E34" s="13">
        <v>2600</v>
      </c>
      <c r="F34" s="13">
        <v>2800</v>
      </c>
      <c r="G34" s="13">
        <v>1800</v>
      </c>
      <c r="H34" s="13">
        <v>1800</v>
      </c>
      <c r="I34" s="13">
        <v>1800</v>
      </c>
      <c r="J34" s="13">
        <v>1800</v>
      </c>
      <c r="K34" s="13">
        <v>1800</v>
      </c>
      <c r="L34" s="13"/>
      <c r="M34" s="13"/>
      <c r="N34" s="13"/>
      <c r="O34" s="13"/>
      <c r="P34" s="13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" x14ac:dyDescent="0.2">
      <c r="A35" s="1"/>
      <c r="B35" s="2"/>
      <c r="C35" s="1"/>
      <c r="D35" s="17" t="s">
        <v>43</v>
      </c>
      <c r="E35" s="13">
        <v>3022.02</v>
      </c>
      <c r="F35" s="13"/>
      <c r="G35" s="13">
        <v>3106.13</v>
      </c>
      <c r="H35" s="13"/>
      <c r="I35" s="13">
        <v>3089.85</v>
      </c>
      <c r="J35" s="13">
        <v>3134.43</v>
      </c>
      <c r="K35" s="13"/>
      <c r="L35" s="13"/>
      <c r="M35" s="13"/>
      <c r="N35" s="13"/>
      <c r="O35" s="13"/>
      <c r="P35" s="13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" x14ac:dyDescent="0.2">
      <c r="A36" s="1"/>
      <c r="B36" s="2"/>
      <c r="C36" s="14" t="s">
        <v>29</v>
      </c>
      <c r="D36" s="14" t="s">
        <v>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" x14ac:dyDescent="0.2">
      <c r="A37" s="1"/>
      <c r="B37" s="2"/>
      <c r="C37" s="21"/>
      <c r="D37" s="17" t="s">
        <v>45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" x14ac:dyDescent="0.2">
      <c r="A38" s="1"/>
      <c r="B38" s="2"/>
      <c r="C38" s="1"/>
      <c r="D38" s="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" x14ac:dyDescent="0.2">
      <c r="A39" s="1"/>
      <c r="B39" s="2"/>
      <c r="C39" s="14" t="s">
        <v>29</v>
      </c>
      <c r="D39" s="14" t="s">
        <v>46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f t="shared" ref="E39:O39" si="5">SUM(L40:L42)</f>
        <v>0</v>
      </c>
      <c r="M39" s="15">
        <f t="shared" si="5"/>
        <v>0</v>
      </c>
      <c r="N39" s="15">
        <f t="shared" si="5"/>
        <v>0</v>
      </c>
      <c r="O39" s="15">
        <f t="shared" si="5"/>
        <v>0</v>
      </c>
      <c r="P39" s="15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" x14ac:dyDescent="0.2">
      <c r="A40" s="1"/>
      <c r="B40" s="2"/>
      <c r="C40" s="21"/>
      <c r="D40" s="25" t="s">
        <v>47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" x14ac:dyDescent="0.2">
      <c r="A41" s="1"/>
      <c r="B41" s="2"/>
      <c r="C41" s="25"/>
      <c r="D41" s="25" t="s">
        <v>48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" x14ac:dyDescent="0.2">
      <c r="A42" s="1"/>
      <c r="B42" s="2"/>
      <c r="C42" s="25"/>
      <c r="D42" s="25" t="s">
        <v>49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" x14ac:dyDescent="0.2">
      <c r="A43" s="1"/>
      <c r="B43" s="2"/>
      <c r="C43" s="25"/>
      <c r="D43" s="25" t="s">
        <v>97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" x14ac:dyDescent="0.2">
      <c r="A44" s="1"/>
      <c r="B44" s="2"/>
      <c r="C44" s="1"/>
      <c r="D44" s="1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" collapsed="1" x14ac:dyDescent="0.2">
      <c r="A45" s="1"/>
      <c r="B45" s="2"/>
      <c r="C45" s="1"/>
      <c r="D45" s="1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" hidden="1" outlineLevel="1" x14ac:dyDescent="0.2">
      <c r="A46" s="1"/>
      <c r="B46" s="2"/>
      <c r="C46" s="14" t="s">
        <v>29</v>
      </c>
      <c r="D46" s="14" t="s">
        <v>50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" hidden="1" outlineLevel="1" x14ac:dyDescent="0.2">
      <c r="A47" s="1"/>
      <c r="B47" s="2"/>
      <c r="C47" s="21"/>
      <c r="D47" s="25" t="s">
        <v>51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" hidden="1" outlineLevel="1" x14ac:dyDescent="0.2">
      <c r="A48" s="1"/>
      <c r="B48" s="2"/>
      <c r="C48" s="1"/>
      <c r="D48" s="17" t="s">
        <v>52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" hidden="1" outlineLevel="1" x14ac:dyDescent="0.2">
      <c r="A49" s="1"/>
      <c r="B49" s="2"/>
      <c r="C49" s="26"/>
      <c r="D49" s="27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 x14ac:dyDescent="0.2">
      <c r="A50" s="1"/>
      <c r="B50" s="2"/>
      <c r="C50" s="29"/>
      <c r="D50" s="30" t="s">
        <v>53</v>
      </c>
      <c r="E50" s="31">
        <v>18477.27</v>
      </c>
      <c r="F50" s="31">
        <v>23638.720000000001</v>
      </c>
      <c r="G50" s="31">
        <v>18908.75</v>
      </c>
      <c r="H50" s="31">
        <v>34544.199999999997</v>
      </c>
      <c r="I50" s="31">
        <v>29250</v>
      </c>
      <c r="J50" s="31">
        <v>6265</v>
      </c>
      <c r="K50" s="31">
        <v>6199.81</v>
      </c>
      <c r="L50" s="31">
        <f t="shared" ref="E50:N50" si="6">L62+L71+L73+L72</f>
        <v>6271.01</v>
      </c>
      <c r="M50" s="31">
        <f t="shared" si="6"/>
        <v>0</v>
      </c>
      <c r="N50" s="31">
        <f t="shared" si="6"/>
        <v>0</v>
      </c>
      <c r="O50" s="31">
        <f>SUM(O62,O71,O72,O73)</f>
        <v>0</v>
      </c>
      <c r="P50" s="31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" x14ac:dyDescent="0.2">
      <c r="A51" s="1"/>
      <c r="B51" s="2"/>
      <c r="C51" s="1"/>
      <c r="D51" s="1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 x14ac:dyDescent="0.2">
      <c r="A52" s="1"/>
      <c r="B52" s="2"/>
      <c r="C52" s="26"/>
      <c r="D52" s="32" t="s">
        <v>54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" x14ac:dyDescent="0.2">
      <c r="A53" s="1"/>
      <c r="B53" s="2"/>
      <c r="C53" s="1"/>
      <c r="D53" s="17" t="s">
        <v>55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" x14ac:dyDescent="0.2">
      <c r="A54" s="1"/>
      <c r="B54" s="2"/>
      <c r="C54" s="1"/>
      <c r="D54" s="17" t="s">
        <v>57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" x14ac:dyDescent="0.2">
      <c r="A55" s="1"/>
      <c r="B55" s="2"/>
      <c r="C55" s="1"/>
      <c r="D55" s="17" t="s">
        <v>58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" x14ac:dyDescent="0.2">
      <c r="A56" s="1"/>
      <c r="B56" s="2"/>
      <c r="C56" s="1"/>
      <c r="D56" s="1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 x14ac:dyDescent="0.2">
      <c r="A57" s="1"/>
      <c r="B57" s="2"/>
      <c r="C57" s="26"/>
      <c r="D57" s="32" t="s">
        <v>59</v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" x14ac:dyDescent="0.2">
      <c r="A58" s="1"/>
      <c r="B58" s="2"/>
      <c r="C58" s="1"/>
      <c r="D58" s="17" t="s">
        <v>60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" x14ac:dyDescent="0.2">
      <c r="A59" s="1"/>
      <c r="B59" s="2"/>
      <c r="C59" s="1"/>
      <c r="D59" s="17" t="s">
        <v>61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" x14ac:dyDescent="0.2">
      <c r="A60" s="1"/>
      <c r="B60" s="2"/>
      <c r="C60" s="1"/>
      <c r="D60" s="17" t="s">
        <v>62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" x14ac:dyDescent="0.2">
      <c r="A61" s="1"/>
      <c r="B61" s="2"/>
      <c r="C61" s="1"/>
      <c r="D61" s="1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 x14ac:dyDescent="0.2">
      <c r="A62" s="1"/>
      <c r="B62" s="2"/>
      <c r="C62" s="26"/>
      <c r="D62" s="32" t="s">
        <v>63</v>
      </c>
      <c r="E62" s="15">
        <v>12478.34</v>
      </c>
      <c r="F62" s="15">
        <v>17769.71</v>
      </c>
      <c r="G62" s="15">
        <v>12942.89</v>
      </c>
      <c r="H62" s="15">
        <v>28420.44</v>
      </c>
      <c r="I62" s="15">
        <v>23183.05</v>
      </c>
      <c r="J62" s="15">
        <v>0</v>
      </c>
      <c r="K62" s="15">
        <v>0</v>
      </c>
      <c r="L62" s="15">
        <f t="shared" ref="H62:M62" si="7">SUM(L65,L64,L66)</f>
        <v>0</v>
      </c>
      <c r="M62" s="15">
        <f t="shared" si="7"/>
        <v>0</v>
      </c>
      <c r="N62" s="15">
        <f t="shared" ref="N62:O62" si="8">SUM(N65,N64,N66,N67)</f>
        <v>0</v>
      </c>
      <c r="O62" s="15">
        <f t="shared" si="8"/>
        <v>0</v>
      </c>
      <c r="P62" s="15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" x14ac:dyDescent="0.2">
      <c r="A63" s="1"/>
      <c r="B63" s="2"/>
      <c r="C63" s="1"/>
      <c r="D63" s="17" t="s">
        <v>64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9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" x14ac:dyDescent="0.2">
      <c r="A64" s="1"/>
      <c r="B64" s="2"/>
      <c r="C64" s="1"/>
      <c r="D64" s="17" t="s">
        <v>65</v>
      </c>
      <c r="E64" s="13">
        <v>11810.42</v>
      </c>
      <c r="F64" s="13">
        <v>17056.47</v>
      </c>
      <c r="G64" s="13">
        <v>12942.89</v>
      </c>
      <c r="H64" s="13">
        <v>27707.200000000001</v>
      </c>
      <c r="I64" s="13">
        <v>22469.81</v>
      </c>
      <c r="J64" s="13"/>
      <c r="K64" s="13"/>
      <c r="L64" s="13"/>
      <c r="M64" s="13"/>
      <c r="N64" s="13"/>
      <c r="O64" s="13"/>
      <c r="P64" s="19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" x14ac:dyDescent="0.2">
      <c r="A65" s="1"/>
      <c r="B65" s="2"/>
      <c r="C65" s="1"/>
      <c r="D65" s="17" t="s">
        <v>66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9"/>
      <c r="P65" s="19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" x14ac:dyDescent="0.2">
      <c r="A66" s="1"/>
      <c r="B66" s="2"/>
      <c r="C66" s="1"/>
      <c r="D66" s="17" t="s">
        <v>67</v>
      </c>
      <c r="E66" s="13">
        <v>667.92</v>
      </c>
      <c r="F66" s="13">
        <v>713.24</v>
      </c>
      <c r="G66" s="13"/>
      <c r="H66" s="13">
        <v>713.24</v>
      </c>
      <c r="I66" s="13">
        <v>713.24</v>
      </c>
      <c r="J66" s="13"/>
      <c r="K66" s="13"/>
      <c r="L66" s="13"/>
      <c r="M66" s="13"/>
      <c r="N66" s="13"/>
      <c r="O66" s="19"/>
      <c r="P66" s="19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" x14ac:dyDescent="0.2">
      <c r="A67" s="1"/>
      <c r="B67" s="2"/>
      <c r="C67" s="1"/>
      <c r="D67" s="17" t="s">
        <v>68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9"/>
      <c r="P67" s="19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x14ac:dyDescent="0.2">
      <c r="A68" s="1"/>
      <c r="B68" s="2"/>
      <c r="C68" s="26"/>
      <c r="D68" s="32" t="s">
        <v>69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" x14ac:dyDescent="0.2">
      <c r="A69" s="1"/>
      <c r="B69" s="2"/>
      <c r="C69" s="1"/>
      <c r="D69" s="34" t="s">
        <v>70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 x14ac:dyDescent="0.2">
      <c r="A70" s="1"/>
      <c r="B70" s="2"/>
      <c r="C70" s="26"/>
      <c r="D70" s="32" t="s">
        <v>71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" x14ac:dyDescent="0.2">
      <c r="A71" s="1"/>
      <c r="B71" s="2"/>
      <c r="C71" s="1"/>
      <c r="D71" s="17" t="s">
        <v>72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" x14ac:dyDescent="0.2">
      <c r="A72" s="1"/>
      <c r="B72" s="2"/>
      <c r="C72" s="1"/>
      <c r="D72" s="17" t="s">
        <v>73</v>
      </c>
      <c r="E72" s="13">
        <v>5929.93</v>
      </c>
      <c r="F72" s="13">
        <v>5800.01</v>
      </c>
      <c r="G72" s="13">
        <v>5857.86</v>
      </c>
      <c r="H72" s="13">
        <v>6050.76</v>
      </c>
      <c r="I72" s="13">
        <v>5993.95</v>
      </c>
      <c r="J72" s="13">
        <v>6192</v>
      </c>
      <c r="K72" s="13">
        <v>6126.81</v>
      </c>
      <c r="L72" s="13">
        <v>6198.01</v>
      </c>
      <c r="M72" s="13"/>
      <c r="N72" s="13"/>
      <c r="O72" s="13"/>
      <c r="P72" s="13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" x14ac:dyDescent="0.2">
      <c r="A73" s="1"/>
      <c r="B73" s="2"/>
      <c r="C73" s="1"/>
      <c r="D73" s="17" t="s">
        <v>74</v>
      </c>
      <c r="E73" s="13">
        <v>69</v>
      </c>
      <c r="F73" s="13">
        <v>69</v>
      </c>
      <c r="G73" s="13">
        <v>108</v>
      </c>
      <c r="H73" s="13">
        <v>73</v>
      </c>
      <c r="I73" s="13">
        <v>73</v>
      </c>
      <c r="J73" s="13">
        <v>73</v>
      </c>
      <c r="K73" s="13">
        <v>73</v>
      </c>
      <c r="L73" s="13">
        <v>73</v>
      </c>
      <c r="M73" s="13"/>
      <c r="N73" s="13"/>
      <c r="O73" s="13"/>
      <c r="P73" s="19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1"/>
      <c r="B74" s="2"/>
      <c r="C74" s="35"/>
      <c r="D74" s="36" t="s">
        <v>75</v>
      </c>
      <c r="E74" s="37">
        <v>18059.05</v>
      </c>
      <c r="F74" s="37">
        <v>22746.34</v>
      </c>
      <c r="G74" s="37">
        <v>48872.4</v>
      </c>
      <c r="H74" s="37">
        <v>49614.3</v>
      </c>
      <c r="I74" s="37">
        <v>28325.93</v>
      </c>
      <c r="J74" s="37">
        <v>0</v>
      </c>
      <c r="K74" s="37">
        <v>0</v>
      </c>
      <c r="L74" s="37">
        <f t="shared" ref="E74:O74" si="9">SUM(L76,L91,L96)</f>
        <v>0</v>
      </c>
      <c r="M74" s="37">
        <f t="shared" si="9"/>
        <v>0</v>
      </c>
      <c r="N74" s="37">
        <f t="shared" si="9"/>
        <v>0</v>
      </c>
      <c r="O74" s="37">
        <f t="shared" si="9"/>
        <v>0</v>
      </c>
      <c r="P74" s="37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" x14ac:dyDescent="0.2">
      <c r="A75" s="1"/>
      <c r="B75" s="2"/>
      <c r="C75" s="1"/>
      <c r="D75" s="1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" x14ac:dyDescent="0.2">
      <c r="A76" s="1"/>
      <c r="B76" s="2"/>
      <c r="C76" s="26"/>
      <c r="D76" s="14" t="s">
        <v>76</v>
      </c>
      <c r="E76" s="15">
        <v>17694.5</v>
      </c>
      <c r="F76" s="15">
        <v>22243.5</v>
      </c>
      <c r="G76" s="15">
        <v>48423.67</v>
      </c>
      <c r="H76" s="15">
        <v>49473</v>
      </c>
      <c r="I76" s="15">
        <v>28325.93</v>
      </c>
      <c r="J76" s="15">
        <v>0</v>
      </c>
      <c r="K76" s="15">
        <v>0</v>
      </c>
      <c r="L76" s="15">
        <f t="shared" ref="E76:M76" si="10">SUM(L77:L89)</f>
        <v>0</v>
      </c>
      <c r="M76" s="15">
        <f t="shared" si="10"/>
        <v>0</v>
      </c>
      <c r="N76" s="15">
        <f>SUM(N77:N90)</f>
        <v>0</v>
      </c>
      <c r="O76" s="15">
        <f>SUM(O77:O89)</f>
        <v>0</v>
      </c>
      <c r="P76" s="15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" x14ac:dyDescent="0.2">
      <c r="A77" s="1"/>
      <c r="B77" s="2"/>
      <c r="C77" s="1"/>
      <c r="D77" s="17" t="s">
        <v>77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" x14ac:dyDescent="0.2">
      <c r="A78" s="1"/>
      <c r="B78" s="2"/>
      <c r="C78" s="1"/>
      <c r="D78" s="17" t="s">
        <v>78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" x14ac:dyDescent="0.2">
      <c r="A79" s="1"/>
      <c r="B79" s="2"/>
      <c r="C79" s="1"/>
      <c r="D79" s="17" t="s">
        <v>118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" x14ac:dyDescent="0.2">
      <c r="A80" s="1"/>
      <c r="B80" s="2"/>
      <c r="C80" s="1"/>
      <c r="D80" s="17" t="s">
        <v>119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" x14ac:dyDescent="0.2">
      <c r="A81" s="1"/>
      <c r="B81" s="2"/>
      <c r="C81" s="1"/>
      <c r="D81" s="17" t="s">
        <v>79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" x14ac:dyDescent="0.2">
      <c r="A82" s="1"/>
      <c r="B82" s="2"/>
      <c r="C82" s="1"/>
      <c r="D82" s="17" t="s">
        <v>120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" x14ac:dyDescent="0.2">
      <c r="A83" s="1"/>
      <c r="B83" s="2"/>
      <c r="C83" s="1"/>
      <c r="D83" s="17" t="s">
        <v>80</v>
      </c>
      <c r="E83" s="13"/>
      <c r="F83" s="13">
        <v>983.67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" x14ac:dyDescent="0.2">
      <c r="A84" s="1"/>
      <c r="B84" s="2"/>
      <c r="C84" s="1"/>
      <c r="D84" s="17" t="s">
        <v>121</v>
      </c>
      <c r="E84" s="13">
        <v>16284.51</v>
      </c>
      <c r="F84" s="13">
        <v>13824.96</v>
      </c>
      <c r="G84" s="13">
        <v>43519.21</v>
      </c>
      <c r="H84" s="13">
        <v>41556.410000000003</v>
      </c>
      <c r="I84" s="13">
        <v>22331.94</v>
      </c>
      <c r="J84" s="13"/>
      <c r="K84" s="13"/>
      <c r="L84" s="13"/>
      <c r="M84" s="13"/>
      <c r="N84" s="13"/>
      <c r="O84" s="13"/>
      <c r="P84" s="13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" x14ac:dyDescent="0.2">
      <c r="A85" s="1"/>
      <c r="B85" s="2"/>
      <c r="C85" s="1"/>
      <c r="D85" s="17" t="s">
        <v>81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" x14ac:dyDescent="0.2">
      <c r="A86" s="1"/>
      <c r="B86" s="2"/>
      <c r="C86" s="1"/>
      <c r="D86" s="17" t="s">
        <v>82</v>
      </c>
      <c r="E86" s="13">
        <v>1409.99</v>
      </c>
      <c r="F86" s="13">
        <v>5089.87</v>
      </c>
      <c r="G86" s="13">
        <v>4796.07</v>
      </c>
      <c r="H86" s="13">
        <v>5365.16</v>
      </c>
      <c r="I86" s="13">
        <v>4476.53</v>
      </c>
      <c r="J86" s="13"/>
      <c r="K86" s="13"/>
      <c r="L86" s="13"/>
      <c r="M86" s="13"/>
      <c r="N86" s="13"/>
      <c r="O86" s="13"/>
      <c r="P86" s="13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" x14ac:dyDescent="0.2">
      <c r="A87" s="1"/>
      <c r="B87" s="2"/>
      <c r="C87" s="1"/>
      <c r="D87" s="17" t="s">
        <v>122</v>
      </c>
      <c r="E87" s="13"/>
      <c r="F87" s="13">
        <v>2345</v>
      </c>
      <c r="G87" s="13">
        <v>108.39</v>
      </c>
      <c r="H87" s="13">
        <v>2551.4299999999998</v>
      </c>
      <c r="I87" s="13">
        <v>1517.46</v>
      </c>
      <c r="J87" s="13"/>
      <c r="K87" s="13"/>
      <c r="L87" s="13"/>
      <c r="M87" s="13"/>
      <c r="N87" s="13"/>
      <c r="O87" s="13"/>
      <c r="P87" s="13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" x14ac:dyDescent="0.2">
      <c r="A88" s="1"/>
      <c r="B88" s="2"/>
      <c r="C88" s="1"/>
      <c r="D88" s="17" t="s">
        <v>83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" x14ac:dyDescent="0.2">
      <c r="A89" s="1"/>
      <c r="B89" s="2"/>
      <c r="C89" s="1"/>
      <c r="D89" s="17" t="s">
        <v>84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" x14ac:dyDescent="0.2">
      <c r="A90" s="1"/>
      <c r="B90" s="2"/>
      <c r="C90" s="1"/>
      <c r="D90" s="17" t="s">
        <v>85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" x14ac:dyDescent="0.2">
      <c r="A91" s="1"/>
      <c r="B91" s="2"/>
      <c r="C91" s="26"/>
      <c r="D91" s="14" t="s">
        <v>86</v>
      </c>
      <c r="E91" s="15">
        <v>144.28</v>
      </c>
      <c r="F91" s="15">
        <v>294.39999999999998</v>
      </c>
      <c r="G91" s="15">
        <v>174.52</v>
      </c>
      <c r="H91" s="15">
        <v>141.30000000000001</v>
      </c>
      <c r="I91" s="15">
        <v>0</v>
      </c>
      <c r="J91" s="15">
        <v>0</v>
      </c>
      <c r="K91" s="15">
        <v>0</v>
      </c>
      <c r="L91" s="15">
        <f t="shared" ref="E91:O91" si="11">SUM(L92:L94)</f>
        <v>0</v>
      </c>
      <c r="M91" s="15">
        <f t="shared" si="11"/>
        <v>0</v>
      </c>
      <c r="N91" s="15">
        <f t="shared" si="11"/>
        <v>0</v>
      </c>
      <c r="O91" s="15">
        <f t="shared" si="11"/>
        <v>0</v>
      </c>
      <c r="P91" s="33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" x14ac:dyDescent="0.2">
      <c r="A92" s="1"/>
      <c r="B92" s="2"/>
      <c r="C92" s="1"/>
      <c r="D92" s="17" t="s">
        <v>88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" x14ac:dyDescent="0.2">
      <c r="A93" s="1"/>
      <c r="B93" s="2"/>
      <c r="C93" s="1"/>
      <c r="D93" s="17" t="s">
        <v>123</v>
      </c>
      <c r="E93" s="19">
        <v>144.28</v>
      </c>
      <c r="F93" s="19">
        <v>144.4</v>
      </c>
      <c r="G93" s="19">
        <v>144.52000000000001</v>
      </c>
      <c r="H93" s="19">
        <v>141.30000000000001</v>
      </c>
      <c r="I93" s="19"/>
      <c r="J93" s="19"/>
      <c r="K93" s="19"/>
      <c r="L93" s="19"/>
      <c r="M93" s="19"/>
      <c r="N93" s="19"/>
      <c r="O93" s="19"/>
      <c r="P93" s="19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" x14ac:dyDescent="0.2">
      <c r="A94" s="1"/>
      <c r="B94" s="2"/>
      <c r="C94" s="1"/>
      <c r="D94" s="17" t="s">
        <v>89</v>
      </c>
      <c r="E94" s="19"/>
      <c r="F94" s="19">
        <v>150</v>
      </c>
      <c r="G94" s="19">
        <v>30</v>
      </c>
      <c r="H94" s="19"/>
      <c r="I94" s="19"/>
      <c r="J94" s="19"/>
      <c r="K94" s="19"/>
      <c r="L94" s="19"/>
      <c r="M94" s="19"/>
      <c r="N94" s="19"/>
      <c r="O94" s="19"/>
      <c r="P94" s="19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" x14ac:dyDescent="0.2">
      <c r="A95" s="1"/>
      <c r="B95" s="2"/>
      <c r="C95" s="1"/>
      <c r="D95" s="17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" x14ac:dyDescent="0.2">
      <c r="A96" s="1"/>
      <c r="B96" s="2"/>
      <c r="C96" s="26"/>
      <c r="D96" s="14" t="s">
        <v>90</v>
      </c>
      <c r="E96" s="15">
        <v>220.27</v>
      </c>
      <c r="F96" s="15">
        <v>208.44</v>
      </c>
      <c r="G96" s="15">
        <v>274.20999999999998</v>
      </c>
      <c r="H96" s="15">
        <v>0</v>
      </c>
      <c r="I96" s="15">
        <v>0</v>
      </c>
      <c r="J96" s="15">
        <v>0</v>
      </c>
      <c r="K96" s="15">
        <v>0</v>
      </c>
      <c r="L96" s="15">
        <f t="shared" ref="H96:M96" si="12">SUM(L97:L98)</f>
        <v>0</v>
      </c>
      <c r="M96" s="15">
        <f t="shared" si="12"/>
        <v>0</v>
      </c>
      <c r="N96" s="15"/>
      <c r="O96" s="28"/>
      <c r="P96" s="28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" x14ac:dyDescent="0.2">
      <c r="A97" s="1"/>
      <c r="B97" s="2"/>
      <c r="C97" s="1"/>
      <c r="D97" s="17" t="s">
        <v>91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" x14ac:dyDescent="0.2">
      <c r="A98" s="1"/>
      <c r="B98" s="2"/>
      <c r="C98" s="1"/>
      <c r="D98" s="17" t="s">
        <v>92</v>
      </c>
      <c r="E98" s="19"/>
      <c r="F98" s="19"/>
      <c r="G98" s="19"/>
      <c r="H98" s="19"/>
      <c r="I98" s="19"/>
      <c r="J98" s="19"/>
      <c r="K98" s="19"/>
      <c r="L98" s="19"/>
      <c r="M98" s="13"/>
      <c r="N98" s="13"/>
      <c r="O98" s="13"/>
      <c r="P98" s="13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" x14ac:dyDescent="0.2">
      <c r="A99" s="1"/>
      <c r="B99" s="2"/>
      <c r="C99" s="1"/>
      <c r="D99" s="1"/>
      <c r="N99" s="19"/>
      <c r="O99" s="19"/>
      <c r="P99" s="19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 x14ac:dyDescent="0.2">
      <c r="A100" s="1"/>
      <c r="B100" s="2"/>
      <c r="C100" s="38"/>
      <c r="D100" s="39" t="s">
        <v>93</v>
      </c>
      <c r="E100" s="40">
        <v>97538.62</v>
      </c>
      <c r="F100" s="40">
        <v>91711.83</v>
      </c>
      <c r="G100" s="40">
        <v>123535.42</v>
      </c>
      <c r="H100" s="40">
        <v>116836.16</v>
      </c>
      <c r="I100" s="40">
        <v>127799.83</v>
      </c>
      <c r="J100" s="40">
        <v>0</v>
      </c>
      <c r="K100" s="40">
        <v>0</v>
      </c>
      <c r="L100" s="40">
        <f t="shared" ref="H100:P100" si="13">SUM(L102,L106,L112,L114)</f>
        <v>0</v>
      </c>
      <c r="M100" s="40">
        <f t="shared" si="13"/>
        <v>0</v>
      </c>
      <c r="N100" s="40">
        <f t="shared" si="13"/>
        <v>0</v>
      </c>
      <c r="O100" s="40">
        <f t="shared" si="13"/>
        <v>0</v>
      </c>
      <c r="P100" s="40">
        <f t="shared" si="13"/>
        <v>0</v>
      </c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" x14ac:dyDescent="0.2">
      <c r="A101" s="1"/>
      <c r="B101" s="2"/>
      <c r="C101" s="1"/>
      <c r="D101" s="1"/>
      <c r="E101" s="13"/>
      <c r="F101" s="13"/>
      <c r="G101" s="13"/>
      <c r="H101" s="13"/>
      <c r="I101" s="13"/>
      <c r="J101" s="13"/>
      <c r="K101" s="13"/>
      <c r="L101" s="13"/>
      <c r="M101" s="13"/>
      <c r="N101" s="19"/>
      <c r="O101" s="19"/>
      <c r="P101" s="19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 x14ac:dyDescent="0.2">
      <c r="A102" s="1"/>
      <c r="B102" s="2"/>
      <c r="C102" s="26"/>
      <c r="D102" s="32" t="s">
        <v>95</v>
      </c>
      <c r="E102" s="15">
        <v>8831.61</v>
      </c>
      <c r="F102" s="15">
        <v>12522.73</v>
      </c>
      <c r="G102" s="15">
        <v>12805.68</v>
      </c>
      <c r="H102" s="15">
        <v>11981.24</v>
      </c>
      <c r="I102" s="15">
        <v>11894.87</v>
      </c>
      <c r="J102" s="15">
        <v>0</v>
      </c>
      <c r="K102" s="15">
        <v>0</v>
      </c>
      <c r="L102" s="15">
        <f t="shared" ref="L102:O102" si="14">SUM(L103:L104)</f>
        <v>0</v>
      </c>
      <c r="M102" s="15">
        <f t="shared" si="14"/>
        <v>0</v>
      </c>
      <c r="N102" s="15">
        <f t="shared" si="14"/>
        <v>0</v>
      </c>
      <c r="O102" s="15">
        <f t="shared" si="14"/>
        <v>0</v>
      </c>
      <c r="P102" s="15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" x14ac:dyDescent="0.2">
      <c r="A103" s="1"/>
      <c r="B103" s="2"/>
      <c r="C103" s="1"/>
      <c r="D103" s="34" t="s">
        <v>96</v>
      </c>
      <c r="E103" s="13">
        <v>5355.55</v>
      </c>
      <c r="F103" s="13">
        <v>6032.42</v>
      </c>
      <c r="G103" s="13">
        <v>7935.7</v>
      </c>
      <c r="H103" s="13">
        <v>6854.9</v>
      </c>
      <c r="I103" s="13">
        <v>7185.25</v>
      </c>
      <c r="J103" s="13"/>
      <c r="K103" s="13"/>
      <c r="L103" s="13"/>
      <c r="M103" s="13"/>
      <c r="N103" s="13"/>
      <c r="O103" s="13"/>
      <c r="P103" s="13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" x14ac:dyDescent="0.2">
      <c r="A104" s="1"/>
      <c r="B104" s="2"/>
      <c r="C104" s="1"/>
      <c r="D104" s="17" t="s">
        <v>98</v>
      </c>
      <c r="E104" s="19">
        <v>1989.51</v>
      </c>
      <c r="F104" s="19">
        <v>4750.3900000000003</v>
      </c>
      <c r="G104" s="19">
        <v>3218.94</v>
      </c>
      <c r="H104" s="19">
        <v>3194.64</v>
      </c>
      <c r="I104" s="19">
        <v>2777.92</v>
      </c>
      <c r="J104" s="19"/>
      <c r="K104" s="19"/>
      <c r="L104" s="19"/>
      <c r="M104" s="19"/>
      <c r="N104" s="19"/>
      <c r="O104" s="13"/>
      <c r="P104" s="13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" x14ac:dyDescent="0.2">
      <c r="A105" s="1"/>
      <c r="B105" s="2"/>
      <c r="C105" s="1"/>
      <c r="D105" s="17" t="s">
        <v>100</v>
      </c>
      <c r="E105" s="19">
        <v>1486.55</v>
      </c>
      <c r="F105" s="19">
        <v>1739.92</v>
      </c>
      <c r="G105" s="19">
        <v>1651.04</v>
      </c>
      <c r="H105" s="19">
        <v>1931.7</v>
      </c>
      <c r="I105" s="19">
        <v>1931.7</v>
      </c>
      <c r="J105" s="19"/>
      <c r="K105" s="19"/>
      <c r="L105" s="19"/>
      <c r="M105" s="19"/>
      <c r="N105" s="19"/>
      <c r="O105" s="19"/>
      <c r="P105" s="19"/>
      <c r="Q105" s="2"/>
      <c r="R105" s="1"/>
      <c r="S105" s="1">
        <f>106/4</f>
        <v>26.5</v>
      </c>
      <c r="T105" s="1"/>
      <c r="U105" s="1"/>
      <c r="V105" s="1"/>
      <c r="W105" s="1"/>
      <c r="X105" s="1"/>
      <c r="Y105" s="1"/>
      <c r="Z105" s="1"/>
      <c r="AA105" s="1"/>
    </row>
    <row r="106" spans="1:27" ht="16" x14ac:dyDescent="0.2">
      <c r="A106" s="1"/>
      <c r="B106" s="2"/>
      <c r="C106" s="26"/>
      <c r="D106" s="32" t="s">
        <v>101</v>
      </c>
      <c r="E106" s="15">
        <v>70587.06</v>
      </c>
      <c r="F106" s="15">
        <v>64242.73</v>
      </c>
      <c r="G106" s="15">
        <v>87033.16</v>
      </c>
      <c r="H106" s="15">
        <v>79067.360000000001</v>
      </c>
      <c r="I106" s="15">
        <v>87980.7</v>
      </c>
      <c r="J106" s="15">
        <v>0</v>
      </c>
      <c r="K106" s="15">
        <v>0</v>
      </c>
      <c r="L106" s="15">
        <f t="shared" ref="H106:O106" si="15">SUM(L107:L111,L113)</f>
        <v>0</v>
      </c>
      <c r="M106" s="15">
        <f t="shared" si="15"/>
        <v>0</v>
      </c>
      <c r="N106" s="15">
        <f t="shared" si="15"/>
        <v>0</v>
      </c>
      <c r="O106" s="15">
        <f t="shared" si="15"/>
        <v>0</v>
      </c>
      <c r="P106" s="33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" x14ac:dyDescent="0.2">
      <c r="A107" s="1"/>
      <c r="B107" s="2"/>
      <c r="C107" s="1"/>
      <c r="D107" s="34" t="s">
        <v>102</v>
      </c>
      <c r="E107" s="18">
        <v>60587.06</v>
      </c>
      <c r="F107" s="18">
        <v>51901.73</v>
      </c>
      <c r="G107" s="18">
        <v>61212.95</v>
      </c>
      <c r="H107" s="18">
        <v>63362.45</v>
      </c>
      <c r="I107" s="18">
        <v>66926.7</v>
      </c>
      <c r="J107" s="18"/>
      <c r="K107" s="18"/>
      <c r="L107" s="18"/>
      <c r="M107" s="18"/>
      <c r="N107" s="18"/>
      <c r="O107" s="18"/>
      <c r="P107" s="18"/>
      <c r="Q107" s="2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" x14ac:dyDescent="0.2">
      <c r="A108" s="1"/>
      <c r="B108" s="2"/>
      <c r="C108" s="1"/>
      <c r="D108" s="17" t="s">
        <v>126</v>
      </c>
      <c r="E108" s="19">
        <v>7500</v>
      </c>
      <c r="F108" s="19">
        <v>8461</v>
      </c>
      <c r="G108" s="19">
        <v>22083</v>
      </c>
      <c r="H108" s="19">
        <v>12669.5</v>
      </c>
      <c r="I108" s="19">
        <v>18554</v>
      </c>
      <c r="J108" s="19"/>
      <c r="K108" s="19"/>
      <c r="L108" s="19"/>
      <c r="M108" s="19"/>
      <c r="N108" s="19"/>
      <c r="O108" s="19"/>
      <c r="P108" s="19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" x14ac:dyDescent="0.2">
      <c r="A109" s="1"/>
      <c r="B109" s="2"/>
      <c r="C109" s="1"/>
      <c r="D109" s="17" t="s">
        <v>127</v>
      </c>
      <c r="E109" s="19"/>
      <c r="F109" s="19"/>
      <c r="G109" s="19">
        <v>430.25</v>
      </c>
      <c r="H109" s="19">
        <v>535.41</v>
      </c>
      <c r="I109" s="19"/>
      <c r="J109" s="19"/>
      <c r="K109" s="19"/>
      <c r="L109" s="19"/>
      <c r="M109" s="19"/>
      <c r="N109" s="19"/>
      <c r="O109" s="19"/>
      <c r="P109" s="19"/>
      <c r="Q109" s="2"/>
      <c r="R109" s="1"/>
      <c r="S109" s="21">
        <f>SUM(M102,M71,K72)+28000+2000+597+700-6000+1500+2000+1500+2000</f>
        <v>38423.81</v>
      </c>
      <c r="T109" s="1"/>
      <c r="U109" s="1"/>
      <c r="V109" s="1"/>
      <c r="W109" s="1"/>
      <c r="X109" s="1"/>
      <c r="Y109" s="1"/>
      <c r="Z109" s="1"/>
      <c r="AA109" s="1"/>
    </row>
    <row r="110" spans="1:27" ht="14" x14ac:dyDescent="0.2">
      <c r="A110" s="1"/>
      <c r="B110" s="2"/>
      <c r="C110" s="1"/>
      <c r="D110" s="17" t="s">
        <v>103</v>
      </c>
      <c r="E110" s="19">
        <v>2500</v>
      </c>
      <c r="F110" s="19">
        <v>2500</v>
      </c>
      <c r="G110" s="19">
        <v>2500</v>
      </c>
      <c r="H110" s="19">
        <v>2500</v>
      </c>
      <c r="I110" s="19">
        <v>2500</v>
      </c>
      <c r="J110" s="19"/>
      <c r="K110" s="19"/>
      <c r="L110" s="19"/>
      <c r="M110" s="19"/>
      <c r="N110" s="19"/>
      <c r="O110" s="19"/>
      <c r="P110" s="19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" x14ac:dyDescent="0.2">
      <c r="A111" s="1"/>
      <c r="B111" s="2"/>
      <c r="C111" s="1"/>
      <c r="D111" s="17" t="s">
        <v>104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" x14ac:dyDescent="0.2">
      <c r="A112" s="1"/>
      <c r="B112" s="2"/>
      <c r="C112" s="1"/>
      <c r="D112" s="17" t="s">
        <v>128</v>
      </c>
      <c r="E112" s="19"/>
      <c r="F112" s="19">
        <v>1380</v>
      </c>
      <c r="G112" s="19">
        <v>806.96</v>
      </c>
      <c r="H112" s="19">
        <v>1517.44</v>
      </c>
      <c r="I112" s="19">
        <v>817.44</v>
      </c>
      <c r="J112" s="19"/>
      <c r="K112" s="19"/>
      <c r="L112" s="19"/>
      <c r="M112" s="19"/>
      <c r="N112" s="19"/>
      <c r="O112" s="19"/>
      <c r="P112" s="19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" x14ac:dyDescent="0.2">
      <c r="A113" s="1"/>
      <c r="B113" s="2"/>
      <c r="C113" s="1"/>
      <c r="D113" s="17" t="s">
        <v>124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 x14ac:dyDescent="0.2">
      <c r="A114" s="1"/>
      <c r="B114" s="2"/>
      <c r="C114" s="26"/>
      <c r="D114" s="32" t="s">
        <v>56</v>
      </c>
      <c r="E114" s="15">
        <v>18119.95</v>
      </c>
      <c r="F114" s="15">
        <v>14946.37</v>
      </c>
      <c r="G114" s="15">
        <v>23696.58</v>
      </c>
      <c r="H114" s="15">
        <v>24270.12</v>
      </c>
      <c r="I114" s="15">
        <v>27106.82</v>
      </c>
      <c r="J114" s="15">
        <v>0</v>
      </c>
      <c r="K114" s="15">
        <v>0</v>
      </c>
      <c r="L114" s="15">
        <f t="shared" ref="E114:O114" si="16">SUM(L115:L120)</f>
        <v>0</v>
      </c>
      <c r="M114" s="15">
        <f t="shared" si="16"/>
        <v>0</v>
      </c>
      <c r="N114" s="15">
        <f t="shared" si="16"/>
        <v>0</v>
      </c>
      <c r="O114" s="15">
        <f t="shared" si="16"/>
        <v>0</v>
      </c>
      <c r="P114" s="15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" x14ac:dyDescent="0.2">
      <c r="A115" s="1"/>
      <c r="B115" s="2"/>
      <c r="C115" s="1"/>
      <c r="D115" s="17" t="s">
        <v>105</v>
      </c>
      <c r="E115" s="13">
        <v>2849.94</v>
      </c>
      <c r="F115" s="13">
        <v>3189.1</v>
      </c>
      <c r="G115" s="13">
        <v>3659.29</v>
      </c>
      <c r="H115" s="13">
        <v>3816.08</v>
      </c>
      <c r="I115" s="13">
        <v>2943.61</v>
      </c>
      <c r="J115" s="13"/>
      <c r="K115" s="13"/>
      <c r="L115" s="13"/>
      <c r="M115" s="13"/>
      <c r="N115" s="13"/>
      <c r="O115" s="13"/>
      <c r="P115" s="13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" x14ac:dyDescent="0.2">
      <c r="A116" s="1"/>
      <c r="B116" s="2"/>
      <c r="C116" s="1"/>
      <c r="D116" s="17" t="s">
        <v>125</v>
      </c>
      <c r="E116" s="13">
        <v>1669.22</v>
      </c>
      <c r="F116" s="13">
        <v>1099.57</v>
      </c>
      <c r="G116" s="13">
        <v>2926.11</v>
      </c>
      <c r="H116" s="13">
        <v>7233.74</v>
      </c>
      <c r="I116" s="13">
        <v>6129.97</v>
      </c>
      <c r="J116" s="13"/>
      <c r="K116" s="13"/>
      <c r="L116" s="13"/>
      <c r="M116" s="13"/>
      <c r="N116" s="13"/>
      <c r="O116" s="13"/>
      <c r="P116" s="13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" x14ac:dyDescent="0.2">
      <c r="A117" s="1"/>
      <c r="B117" s="2"/>
      <c r="C117" s="1"/>
      <c r="D117" s="17" t="s">
        <v>106</v>
      </c>
      <c r="E117" s="13">
        <v>1270</v>
      </c>
      <c r="F117" s="13"/>
      <c r="G117" s="13">
        <v>1100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" x14ac:dyDescent="0.2">
      <c r="A118" s="1"/>
      <c r="B118" s="2"/>
      <c r="C118" s="1"/>
      <c r="D118" s="17" t="s">
        <v>107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" x14ac:dyDescent="0.2">
      <c r="A119" s="1"/>
      <c r="B119" s="2"/>
      <c r="C119" s="1"/>
      <c r="D119" s="17" t="s">
        <v>108</v>
      </c>
      <c r="E119" s="13">
        <v>12330.79</v>
      </c>
      <c r="F119" s="13">
        <v>10657.7</v>
      </c>
      <c r="G119" s="13">
        <v>16011.18</v>
      </c>
      <c r="H119" s="13">
        <v>13220.3</v>
      </c>
      <c r="I119" s="13">
        <v>18033.240000000002</v>
      </c>
      <c r="J119" s="13"/>
      <c r="K119" s="13"/>
      <c r="L119" s="13"/>
      <c r="M119" s="13"/>
      <c r="N119" s="13"/>
      <c r="O119" s="13"/>
      <c r="P119" s="13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" x14ac:dyDescent="0.2">
      <c r="A120" s="1"/>
      <c r="B120" s="2"/>
      <c r="C120" s="1"/>
      <c r="D120" s="17" t="s">
        <v>109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" x14ac:dyDescent="0.2">
      <c r="A121" s="1"/>
      <c r="B121" s="2"/>
      <c r="C121" s="41"/>
      <c r="D121" s="42" t="s">
        <v>110</v>
      </c>
      <c r="E121" s="43">
        <v>22187.62</v>
      </c>
      <c r="F121" s="43">
        <v>35774.81</v>
      </c>
      <c r="G121" s="43">
        <v>80013.509999999995</v>
      </c>
      <c r="H121" s="43"/>
      <c r="I121" s="43"/>
      <c r="J121" s="43"/>
      <c r="K121" s="43"/>
      <c r="L121" s="43"/>
      <c r="M121" s="43"/>
      <c r="N121" s="43"/>
      <c r="O121" s="43"/>
      <c r="P121" s="43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" x14ac:dyDescent="0.2">
      <c r="A122" s="1"/>
      <c r="B122" s="2"/>
      <c r="C122" s="1"/>
      <c r="D122" s="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" x14ac:dyDescent="0.2">
      <c r="A123" s="1"/>
      <c r="B123" s="2"/>
      <c r="C123" s="26"/>
      <c r="D123" s="44" t="s">
        <v>111</v>
      </c>
      <c r="E123" s="15">
        <v>137785.29</v>
      </c>
      <c r="F123" s="15">
        <v>150232.98000000001</v>
      </c>
      <c r="G123" s="15">
        <v>252421.33</v>
      </c>
      <c r="H123" s="15">
        <v>152659.51999999999</v>
      </c>
      <c r="I123" s="15">
        <v>152140.38</v>
      </c>
      <c r="J123" s="15">
        <v>184807.75</v>
      </c>
      <c r="K123" s="15">
        <v>216059.6</v>
      </c>
      <c r="L123" s="15">
        <f t="shared" ref="E123:O123" si="17">L5</f>
        <v>0</v>
      </c>
      <c r="M123" s="15">
        <f t="shared" si="17"/>
        <v>0</v>
      </c>
      <c r="N123" s="15">
        <f t="shared" si="17"/>
        <v>0</v>
      </c>
      <c r="O123" s="15">
        <f t="shared" si="17"/>
        <v>0</v>
      </c>
      <c r="P123" s="28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" x14ac:dyDescent="0.2">
      <c r="A124" s="1"/>
      <c r="B124" s="2"/>
      <c r="C124" s="1"/>
      <c r="D124" s="17" t="s">
        <v>112</v>
      </c>
      <c r="E124" s="13">
        <v>97538.62</v>
      </c>
      <c r="F124" s="13">
        <v>91711.83</v>
      </c>
      <c r="G124" s="13">
        <v>123535.42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" x14ac:dyDescent="0.2">
      <c r="A125" s="1"/>
      <c r="B125" s="2"/>
      <c r="C125" s="1"/>
      <c r="D125" s="17" t="s">
        <v>113</v>
      </c>
      <c r="E125" s="13">
        <v>18059.05</v>
      </c>
      <c r="F125" s="13">
        <v>22746.34</v>
      </c>
      <c r="G125" s="13">
        <v>48872.4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" x14ac:dyDescent="0.2">
      <c r="A126" s="1"/>
      <c r="B126" s="2"/>
      <c r="C126" s="1"/>
      <c r="D126" s="1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1"/>
      <c r="B127" s="2"/>
      <c r="C127" s="38"/>
      <c r="D127" s="39" t="s">
        <v>114</v>
      </c>
      <c r="E127" s="40">
        <v>3710.35</v>
      </c>
      <c r="F127" s="40">
        <v>12136.09</v>
      </c>
      <c r="G127" s="40">
        <v>61104.76</v>
      </c>
      <c r="H127" s="40"/>
      <c r="I127" s="40"/>
      <c r="J127" s="40"/>
      <c r="K127" s="40"/>
      <c r="L127" s="40"/>
      <c r="M127" s="40"/>
      <c r="N127" s="40"/>
      <c r="O127" s="40"/>
      <c r="P127" s="45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" x14ac:dyDescent="0.2">
      <c r="A128" s="1"/>
      <c r="B128" s="2"/>
      <c r="C128" s="1"/>
      <c r="D128" s="46" t="s">
        <v>115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" x14ac:dyDescent="0.2">
      <c r="A129" s="1"/>
      <c r="B129" s="2"/>
      <c r="C129" s="1"/>
      <c r="D129" s="1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" x14ac:dyDescent="0.2">
      <c r="A130" s="1"/>
      <c r="B130" s="2"/>
      <c r="C130" s="26"/>
      <c r="D130" s="47" t="s">
        <v>116</v>
      </c>
      <c r="E130" s="28">
        <v>22187.62</v>
      </c>
      <c r="F130" s="28">
        <v>35774.81</v>
      </c>
      <c r="G130" s="28">
        <v>80013.509999999995</v>
      </c>
      <c r="H130" s="28"/>
      <c r="I130" s="28"/>
      <c r="J130" s="28"/>
      <c r="K130" s="28"/>
      <c r="L130" s="28"/>
      <c r="M130" s="28"/>
      <c r="N130" s="28"/>
      <c r="O130" s="28"/>
      <c r="P130" s="33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" x14ac:dyDescent="0.2">
      <c r="A131" s="1"/>
      <c r="B131" s="2"/>
      <c r="C131" s="1"/>
      <c r="D131" s="17" t="s">
        <v>129</v>
      </c>
      <c r="E131" s="13">
        <v>0.161</v>
      </c>
      <c r="F131" s="13">
        <v>0.23810000000000001</v>
      </c>
      <c r="G131" s="13">
        <v>0.317</v>
      </c>
      <c r="H131" s="13"/>
      <c r="I131" s="13"/>
      <c r="J131" s="13"/>
      <c r="K131" s="13"/>
      <c r="L131" s="13"/>
      <c r="M131" s="13"/>
      <c r="N131" s="13"/>
      <c r="O131" s="13"/>
      <c r="P131" s="19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" x14ac:dyDescent="0.2">
      <c r="A132" s="1"/>
      <c r="B132" s="2"/>
      <c r="C132" s="1"/>
      <c r="D132" s="17" t="s">
        <v>38</v>
      </c>
      <c r="E132" s="19">
        <v>12478.34</v>
      </c>
      <c r="F132" s="19">
        <v>17769.71</v>
      </c>
      <c r="G132" s="19">
        <v>12942.89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" x14ac:dyDescent="0.2">
      <c r="A133" s="1"/>
      <c r="B133" s="2"/>
      <c r="C133" s="1"/>
      <c r="D133" s="17" t="s">
        <v>130</v>
      </c>
      <c r="E133" s="19">
        <v>5998.93</v>
      </c>
      <c r="F133" s="19">
        <v>5869.01</v>
      </c>
      <c r="G133" s="19">
        <v>5965.86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" x14ac:dyDescent="0.2">
      <c r="A134" s="1"/>
      <c r="B134" s="2"/>
      <c r="C134" s="26"/>
      <c r="D134" s="47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" x14ac:dyDescent="0.2">
      <c r="A135" s="1"/>
      <c r="B135" s="2"/>
      <c r="C135" s="1"/>
      <c r="D135" s="1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" x14ac:dyDescent="0.2">
      <c r="A136" s="1"/>
      <c r="B136" s="2"/>
      <c r="C136" s="26"/>
      <c r="D136" s="47" t="s">
        <v>117</v>
      </c>
      <c r="E136" s="28">
        <v>3710.35</v>
      </c>
      <c r="F136" s="28">
        <v>12136.09</v>
      </c>
      <c r="G136" s="28">
        <v>61104.76</v>
      </c>
      <c r="H136" s="28"/>
      <c r="I136" s="28"/>
      <c r="J136" s="28"/>
      <c r="K136" s="28"/>
      <c r="L136" s="28"/>
      <c r="M136" s="28"/>
      <c r="N136" s="28"/>
      <c r="O136" s="28"/>
      <c r="P136" s="33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" x14ac:dyDescent="0.2">
      <c r="A137" s="1"/>
      <c r="B137" s="2"/>
      <c r="C137" s="1"/>
      <c r="D137" s="17" t="s">
        <v>131</v>
      </c>
      <c r="E137" s="19">
        <v>2.69E-2</v>
      </c>
      <c r="F137" s="19">
        <v>8.0799999999999997E-2</v>
      </c>
      <c r="G137" s="19">
        <v>0.24210000000000001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x14ac:dyDescent="0.2">
      <c r="A138" s="1"/>
      <c r="B138" s="2"/>
      <c r="C138" s="48"/>
      <c r="D138" s="49" t="s">
        <v>132</v>
      </c>
      <c r="E138" s="50">
        <v>31310.34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" x14ac:dyDescent="0.2">
      <c r="A139" s="1"/>
      <c r="B139" s="2"/>
      <c r="C139" s="1"/>
      <c r="D139" s="16"/>
      <c r="E139" s="19"/>
      <c r="F139" s="19"/>
      <c r="G139" s="19"/>
      <c r="H139" s="19"/>
      <c r="I139" s="19"/>
      <c r="J139" s="19"/>
      <c r="K139" s="19"/>
      <c r="L139" s="19"/>
      <c r="M139" s="19"/>
      <c r="N139" s="13"/>
      <c r="O139" s="19"/>
      <c r="P139" s="19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" x14ac:dyDescent="0.2">
      <c r="A140" s="1"/>
      <c r="B140" s="2"/>
      <c r="C140" s="1"/>
      <c r="D140" s="16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" x14ac:dyDescent="0.2">
      <c r="A141" s="1"/>
      <c r="B141" s="2"/>
      <c r="C141" s="1"/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" x14ac:dyDescent="0.2">
      <c r="A147" s="1"/>
      <c r="B147" s="1"/>
      <c r="C147" s="1"/>
      <c r="D147" s="17"/>
      <c r="E147" s="1">
        <f t="shared" ref="E147:F147" si="18">E5-E74</f>
        <v>119726.24</v>
      </c>
      <c r="F147" s="1">
        <f t="shared" si="18"/>
        <v>127486.64000000001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" x14ac:dyDescent="0.2">
      <c r="A148" s="1"/>
      <c r="B148" s="1"/>
      <c r="C148" s="1"/>
      <c r="D148" s="17" t="s">
        <v>87</v>
      </c>
      <c r="E148" s="1">
        <f t="shared" ref="E148:F148" si="19">E147/E5</f>
        <v>0.86893339630086786</v>
      </c>
      <c r="F148" s="1">
        <f t="shared" si="19"/>
        <v>0.84859289884285061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" x14ac:dyDescent="0.2">
      <c r="A149" s="1"/>
      <c r="B149" s="1"/>
      <c r="C149" s="1"/>
      <c r="D149" s="17" t="s">
        <v>133</v>
      </c>
      <c r="E149" s="1">
        <f t="shared" ref="E149:F149" si="20">E121</f>
        <v>22187.62</v>
      </c>
      <c r="F149" s="1">
        <f t="shared" si="20"/>
        <v>35774.81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" x14ac:dyDescent="0.2">
      <c r="A150" s="1"/>
      <c r="B150" s="1"/>
      <c r="C150" s="1"/>
      <c r="D150" s="17" t="s">
        <v>94</v>
      </c>
      <c r="E150" s="1">
        <f t="shared" ref="E150:F150" si="21">E131</f>
        <v>0.161</v>
      </c>
      <c r="F150" s="1">
        <f t="shared" si="21"/>
        <v>0.23810000000000001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" x14ac:dyDescent="0.2">
      <c r="A151" s="1"/>
      <c r="B151" s="1"/>
      <c r="C151" s="1"/>
      <c r="D151" s="17" t="s">
        <v>134</v>
      </c>
      <c r="E151" s="1">
        <f t="shared" ref="E151:F151" si="22">E136</f>
        <v>3710.35</v>
      </c>
      <c r="F151" s="1">
        <f t="shared" si="22"/>
        <v>12136.09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" x14ac:dyDescent="0.2">
      <c r="A152" s="1"/>
      <c r="B152" s="1"/>
      <c r="C152" s="1"/>
      <c r="D152" s="17" t="s">
        <v>99</v>
      </c>
      <c r="E152" s="1">
        <f t="shared" ref="E152:F152" si="23">E137</f>
        <v>2.69E-2</v>
      </c>
      <c r="F152" s="1">
        <f t="shared" si="23"/>
        <v>8.0799999999999997E-2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15">
      <c r="A154" s="1"/>
      <c r="B154" s="1"/>
      <c r="C154" s="1"/>
      <c r="D154" s="1"/>
      <c r="E154" s="1">
        <f>SUM(E5:F5)-SUM(E74:F74)</f>
        <v>247212.88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" x14ac:dyDescent="0.2">
      <c r="A155" s="1"/>
      <c r="B155" s="1"/>
      <c r="C155" s="1"/>
      <c r="D155" s="17" t="s">
        <v>87</v>
      </c>
      <c r="E155" s="1">
        <f>E154/SUM(E5:F5)</f>
        <v>0.85832360565182197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" x14ac:dyDescent="0.2">
      <c r="A156" s="1"/>
      <c r="B156" s="1"/>
      <c r="C156" s="1"/>
      <c r="D156" s="17" t="s">
        <v>94</v>
      </c>
      <c r="E156" s="1">
        <f>SUM(E121:F121)/SUM(E5:F5)</f>
        <v>0.20124567097774732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" x14ac:dyDescent="0.2">
      <c r="A157" s="1"/>
      <c r="B157" s="1"/>
      <c r="C157" s="1"/>
      <c r="D157" s="17" t="s">
        <v>134</v>
      </c>
      <c r="E157" s="1">
        <f>SUM(E151:F151)</f>
        <v>15846.44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" x14ac:dyDescent="0.2">
      <c r="A158" s="1"/>
      <c r="B158" s="1"/>
      <c r="C158" s="1"/>
      <c r="D158" s="17" t="s">
        <v>99</v>
      </c>
      <c r="E158" s="1">
        <f>E157/SUM(E5:F5)</f>
        <v>5.5018870851491465E-2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Siqueira</cp:lastModifiedBy>
  <dcterms:created xsi:type="dcterms:W3CDTF">2026-08-19T15:37:20Z</dcterms:created>
  <dcterms:modified xsi:type="dcterms:W3CDTF">2026-08-19T15:37:20Z</dcterms:modified>
</cp:coreProperties>
</file>