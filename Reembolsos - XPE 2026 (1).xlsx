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eiro26" sheetId="1" r:id="rId5"/>
    <sheet state="visible" name="Cópia de Janeiro26" sheetId="2" r:id="rId6"/>
    <sheet state="visible" name="Fevereiro26" sheetId="3" r:id="rId7"/>
    <sheet state="visible" name="Março26" sheetId="4" r:id="rId8"/>
    <sheet state="visible" name="Abril26" sheetId="5" r:id="rId9"/>
    <sheet state="visible" name="Maio26" sheetId="6" r:id="rId10"/>
    <sheet state="visible" name="Junho26" sheetId="7" r:id="rId11"/>
    <sheet state="visible" name="Julho26" sheetId="8" r:id="rId12"/>
    <sheet state="visible" name="Reembolso 2026" sheetId="9" r:id="rId13"/>
    <sheet state="visible" name="Cópia de Reembolso 2026" sheetId="10" r:id="rId14"/>
  </sheets>
  <definedNames/>
  <calcPr/>
</workbook>
</file>

<file path=xl/sharedStrings.xml><?xml version="1.0" encoding="utf-8"?>
<sst xmlns="http://schemas.openxmlformats.org/spreadsheetml/2006/main" count="1101" uniqueCount="154">
  <si>
    <t>Igor</t>
  </si>
  <si>
    <t>Tiago</t>
  </si>
  <si>
    <t>Tipo</t>
  </si>
  <si>
    <t>Valor</t>
  </si>
  <si>
    <t>Total de Reembolso do Mês</t>
  </si>
  <si>
    <t>Transporte</t>
  </si>
  <si>
    <t>Alimentação</t>
  </si>
  <si>
    <t>Almoço Marketing</t>
  </si>
  <si>
    <t>Aniversariante do Mês + Comemorações</t>
  </si>
  <si>
    <t>Compra do Pc Biel 2/6</t>
  </si>
  <si>
    <t>Crédito no Chip</t>
  </si>
  <si>
    <t>Compra de Ferramentas de Instalação</t>
  </si>
  <si>
    <t>Compra do Pc Biel 3/6</t>
  </si>
  <si>
    <t>Total</t>
  </si>
  <si>
    <t>Almoço com Cliente</t>
  </si>
  <si>
    <t>Bomba de Água + pizza</t>
  </si>
  <si>
    <t>Compra do Pc Biel 4/6</t>
  </si>
  <si>
    <t>Bomba de Água + Brinde obras</t>
  </si>
  <si>
    <t>Gabriel</t>
  </si>
  <si>
    <t>Adryan</t>
  </si>
  <si>
    <t>Transporte/Manutenção</t>
  </si>
  <si>
    <t>Curso Revit 4/12</t>
  </si>
  <si>
    <t>Curso Revit 5/12</t>
  </si>
  <si>
    <t>Plano telefone + Internet chip xpe</t>
  </si>
  <si>
    <t>Cadeiras + Microfone 3/14</t>
  </si>
  <si>
    <t>Cadeiras + Microfone 4/14</t>
  </si>
  <si>
    <t>Impressora 3D 1/12</t>
  </si>
  <si>
    <t>Impressora 3D 2/12</t>
  </si>
  <si>
    <t>Curso Revit 6/12</t>
  </si>
  <si>
    <t>Cadeiras + Microfone 5/14</t>
  </si>
  <si>
    <t>Impressora 3D 3/12</t>
  </si>
  <si>
    <t>Jonildo</t>
  </si>
  <si>
    <t>Belo</t>
  </si>
  <si>
    <t>Combustível</t>
  </si>
  <si>
    <t>Alimentação Visitas</t>
  </si>
  <si>
    <t>Uber Visitas</t>
  </si>
  <si>
    <t>Uber</t>
  </si>
  <si>
    <t>Crédito no Chip bot</t>
  </si>
  <si>
    <t>Lojão do condomínio</t>
  </si>
  <si>
    <t>Compra chips desenvolvimento</t>
  </si>
  <si>
    <t>Fernando</t>
  </si>
  <si>
    <t>Curso MUC 10/12</t>
  </si>
  <si>
    <t>Curso MUC 11/12</t>
  </si>
  <si>
    <t>ART</t>
  </si>
  <si>
    <t>Google Drive</t>
  </si>
  <si>
    <t>Flavio</t>
  </si>
  <si>
    <t>Ar Cond 3/12</t>
  </si>
  <si>
    <t>Uber Fev.</t>
  </si>
  <si>
    <t>Monitores 3/12</t>
  </si>
  <si>
    <t>Uber Mar.</t>
  </si>
  <si>
    <t>Curso MUC 12/12</t>
  </si>
  <si>
    <t>Custo de Sala</t>
  </si>
  <si>
    <t>gasolina</t>
  </si>
  <si>
    <t>Compras de Material office</t>
  </si>
  <si>
    <t>almoço</t>
  </si>
  <si>
    <t>Ar Cond 2/12</t>
  </si>
  <si>
    <t>Monitores 2/12</t>
  </si>
  <si>
    <t>Notebooks part 2 - 7/24</t>
  </si>
  <si>
    <t>Antropic</t>
  </si>
  <si>
    <t>Compras de Material leparc</t>
  </si>
  <si>
    <t>Diogo</t>
  </si>
  <si>
    <t>Decézaris</t>
  </si>
  <si>
    <t>Notebooks part 2 - 8/24</t>
  </si>
  <si>
    <t>Ar Cond 4/12</t>
  </si>
  <si>
    <t>Gás de cozinha</t>
  </si>
  <si>
    <t>Hospedagem</t>
  </si>
  <si>
    <t>Monitores 4/12</t>
  </si>
  <si>
    <t>alimentação</t>
  </si>
  <si>
    <t>Curso SaaS</t>
  </si>
  <si>
    <t>recarga chip</t>
  </si>
  <si>
    <t>notebook estag 2 -  1/12</t>
  </si>
  <si>
    <t>Notebooks part 2 - 9/24</t>
  </si>
  <si>
    <t>Cleber</t>
  </si>
  <si>
    <t>Audrey</t>
  </si>
  <si>
    <t>Gasolina</t>
  </si>
  <si>
    <t>Brindes funcionários</t>
  </si>
  <si>
    <t>Uber termográfgica</t>
  </si>
  <si>
    <t>Uber inspeções</t>
  </si>
  <si>
    <t>Transporte/gasolina</t>
  </si>
  <si>
    <t>Bolo Cleber</t>
  </si>
  <si>
    <t>Almoço</t>
  </si>
  <si>
    <t>Compra do Pc 5/6</t>
  </si>
  <si>
    <t>Curso Revit 7/12</t>
  </si>
  <si>
    <t>Compra do Pc 6/6</t>
  </si>
  <si>
    <t>Cadeiras + Microfone 6/14</t>
  </si>
  <si>
    <t>Impressora 3D 4/12</t>
  </si>
  <si>
    <t>Almoço Obras</t>
  </si>
  <si>
    <t>Curso Revit 8/12</t>
  </si>
  <si>
    <t>Cadeiras + Microfone 7/14</t>
  </si>
  <si>
    <t>Impressora 3D 5/12</t>
  </si>
  <si>
    <t>Curso Revit 9/12</t>
  </si>
  <si>
    <t>Uber / maio</t>
  </si>
  <si>
    <t>foi add 48,78 dia 26/06 referente a uber nos dias 29 e 30 (já tinha preenchido o reembolso)</t>
  </si>
  <si>
    <t>Uber / Abril</t>
  </si>
  <si>
    <t>Pacotre Office XPE</t>
  </si>
  <si>
    <t>Ar Cond 5/12</t>
  </si>
  <si>
    <t>Cadeiras + Microfone 8/14</t>
  </si>
  <si>
    <t>Curso LGR 01/10</t>
  </si>
  <si>
    <t>Monitores 5/12</t>
  </si>
  <si>
    <t>Impressora 3D 6/12</t>
  </si>
  <si>
    <t>Notebooks part 2 - 10/24</t>
  </si>
  <si>
    <t>Manutenção pcx 50% + bolos e doces</t>
  </si>
  <si>
    <t>Resmas Folhas</t>
  </si>
  <si>
    <t>Curso LGR 02/10</t>
  </si>
  <si>
    <t>Cabos e Fita para Inst.</t>
  </si>
  <si>
    <t>Ar Cond 6/12</t>
  </si>
  <si>
    <t>Monitores 6/12</t>
  </si>
  <si>
    <t>Notebooks part 2 - 11/24</t>
  </si>
  <si>
    <t>notebook estag 2 -  2/12</t>
  </si>
  <si>
    <t>Ar Cond 7/12</t>
  </si>
  <si>
    <t>Monitores 7/12</t>
  </si>
  <si>
    <t>Notebooks part 2 - 12/24</t>
  </si>
  <si>
    <t>Notebook parc 2/21 2x*</t>
  </si>
  <si>
    <t>Monitores + Cadeiras parc 2/12 2x*</t>
  </si>
  <si>
    <t xml:space="preserve">Notebook parc 3/21 </t>
  </si>
  <si>
    <t xml:space="preserve">Monitores + Cadeiras parc 3/12 </t>
  </si>
  <si>
    <t>2x* devido a ser dia 28 a fatura do cartão amazon, logo essa primeira são duas de uma vez, já que vai ser pago maio e abril</t>
  </si>
  <si>
    <t>Evento dia 6</t>
  </si>
  <si>
    <t>Alves</t>
  </si>
  <si>
    <t>Paulo Araújo</t>
  </si>
  <si>
    <t>Curso Revit 10/12</t>
  </si>
  <si>
    <t>Transporte (Uber) - Visita Terra Brasilis</t>
  </si>
  <si>
    <t>Itens Cozinha</t>
  </si>
  <si>
    <t>Cadeiras + Microfone 9/14</t>
  </si>
  <si>
    <t>Impressora 3D 7/12</t>
  </si>
  <si>
    <t>Combustível Junho</t>
  </si>
  <si>
    <t>Transporte Junho</t>
  </si>
  <si>
    <t>Transporte Julho</t>
  </si>
  <si>
    <t>Curso LGR 03/10</t>
  </si>
  <si>
    <t>notebook estag 2 -  3/12</t>
  </si>
  <si>
    <t>Tv - 1/24</t>
  </si>
  <si>
    <t>Ar Cond 8/12</t>
  </si>
  <si>
    <t>Monitores 8/12</t>
  </si>
  <si>
    <t>Gela Água - 1/18</t>
  </si>
  <si>
    <t>Pedestal - 1/12</t>
  </si>
  <si>
    <t>Notebooks part 2 - 13/24</t>
  </si>
  <si>
    <t>P&amp;D NFC/RFID Controlador de carga</t>
  </si>
  <si>
    <t xml:space="preserve">Notebook parc 4/21 </t>
  </si>
  <si>
    <t xml:space="preserve">Monitores + Cadeiras parc 4/12 </t>
  </si>
  <si>
    <t>Bolo síndicas PE no cond.</t>
  </si>
  <si>
    <t>Virada noite meninos (jantar foi no meu cartão)</t>
  </si>
  <si>
    <t>Evento Select</t>
  </si>
  <si>
    <t>obs: esse valor coloquei como custo, pois fiquei responsável por fazer várias atividades, está previsto no fluxo de caixa do evento</t>
  </si>
  <si>
    <t>Café Lidere-se</t>
  </si>
  <si>
    <t xml:space="preserve">Transporte (Uber) </t>
  </si>
  <si>
    <t>Mês</t>
  </si>
  <si>
    <t>Tipo de Reembolso</t>
  </si>
  <si>
    <t xml:space="preserve">Gabriel              </t>
  </si>
  <si>
    <t>Janeiro</t>
  </si>
  <si>
    <t>Fevereiro</t>
  </si>
  <si>
    <t>Reembolso</t>
  </si>
  <si>
    <t>Março</t>
  </si>
  <si>
    <t>Abril</t>
  </si>
  <si>
    <t>Maio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</si>
</sst>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3">
    <font>
      <sz val="10.0"/>
      <color rgb="FF000000"/>
      <name val="Arial"/>
      <scheme val="minor"/>
    </font>
    <font>
      <b/>
      <color theme="1"/>
      <name val="Montserrat"/>
    </font>
    <font/>
    <font>
      <color theme="1"/>
      <name val="Montserrat"/>
    </font>
    <font>
      <color theme="1"/>
      <name val="Arial"/>
      <scheme val="minor"/>
    </font>
    <font>
      <color rgb="FF000000"/>
      <name val="Arial"/>
      <scheme val="minor"/>
    </font>
    <font>
      <color rgb="FF000000"/>
      <name val="Montserrat"/>
    </font>
    <font>
      <b/>
      <color rgb="FF000000"/>
      <name val="Montserrat"/>
    </font>
    <font>
      <color theme="1"/>
      <name val="Arial"/>
    </font>
    <font>
      <sz val="12.0"/>
      <color rgb="FF000000"/>
      <name val="&quot;Aptos Narrow&quot;"/>
    </font>
    <font>
      <sz val="12.0"/>
      <color theme="1"/>
      <name val="Arial"/>
    </font>
    <font>
      <color rgb="FFFFFFFF"/>
      <name val="Arial"/>
    </font>
    <font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20">
    <border/>
    <border>
      <left style="thin">
        <color rgb="FF674EA7"/>
      </left>
      <top style="thin">
        <color rgb="FF674EA7"/>
      </top>
      <bottom style="thin">
        <color rgb="FF8E7CC3"/>
      </bottom>
    </border>
    <border>
      <top style="thin">
        <color rgb="FF674EA7"/>
      </top>
      <bottom style="thin">
        <color rgb="FF8E7CC3"/>
      </bottom>
    </border>
    <border>
      <right style="thin">
        <color rgb="FF674EA7"/>
      </right>
      <top style="thin">
        <color rgb="FF674EA7"/>
      </top>
      <bottom style="thin">
        <color rgb="FF8E7CC3"/>
      </bottom>
    </border>
    <border>
      <left style="thin">
        <color rgb="FF674EA7"/>
      </left>
      <right style="thin">
        <color rgb="FF8E7CC3"/>
      </right>
    </border>
    <border>
      <right style="thin">
        <color rgb="FF8E7CC3"/>
      </right>
    </border>
    <border>
      <right style="thin">
        <color rgb="FF674EA7"/>
      </right>
    </border>
    <border>
      <left style="thin">
        <color rgb="FF674EA7"/>
      </left>
      <right style="thin">
        <color rgb="FF8E7CC3"/>
      </right>
      <top style="thin">
        <color rgb="FF8E7CC3"/>
      </top>
    </border>
    <border>
      <left style="medium">
        <color rgb="FF8E7CC3"/>
      </left>
      <right style="medium">
        <color rgb="FF8E7CC3"/>
      </right>
      <top style="medium">
        <color rgb="FF8E7CC3"/>
      </top>
    </border>
    <border>
      <right style="thin">
        <color rgb="FF8E7CC3"/>
      </right>
      <top style="thin">
        <color rgb="FF8E7CC3"/>
      </top>
    </border>
    <border>
      <right style="thin">
        <color rgb="FF674EA7"/>
      </right>
      <top style="thin">
        <color rgb="FF8E7CC3"/>
      </top>
    </border>
    <border>
      <left style="medium">
        <color rgb="FF8E7CC3"/>
      </left>
      <right style="medium">
        <color rgb="FF8E7CC3"/>
      </right>
      <bottom style="medium">
        <color rgb="FF8E7CC3"/>
      </bottom>
    </border>
    <border>
      <left style="thin">
        <color rgb="FF674EA7"/>
      </left>
      <right style="thin">
        <color rgb="FF8E7CC3"/>
      </right>
      <top style="thin">
        <color rgb="FF674EA7"/>
      </top>
      <bottom style="thin">
        <color rgb="FF674EA7"/>
      </bottom>
    </border>
    <border>
      <right style="thin">
        <color rgb="FF8E7CC3"/>
      </right>
      <top style="thin">
        <color rgb="FF674EA7"/>
      </top>
      <bottom style="thin">
        <color rgb="FF674EA7"/>
      </bottom>
    </border>
    <border>
      <right style="thin">
        <color rgb="FF674EA7"/>
      </right>
      <top style="thin">
        <color rgb="FF674EA7"/>
      </top>
      <bottom style="thin">
        <color rgb="FF674EA7"/>
      </bottom>
    </border>
    <border>
      <left style="thin">
        <color rgb="FF674EA7"/>
      </left>
    </border>
    <border>
      <left style="thin">
        <color rgb="FF674EA7"/>
      </left>
      <right style="thin">
        <color rgb="FF674EA7"/>
      </right>
      <top style="thin">
        <color rgb="FF674EA7"/>
      </top>
    </border>
    <border>
      <left style="thin">
        <color rgb="FF674EA7"/>
      </left>
      <right style="thin">
        <color rgb="FF674EA7"/>
      </right>
    </border>
    <border>
      <left style="thin">
        <color rgb="FF674EA7"/>
      </left>
      <top style="thin">
        <color rgb="FF674EA7"/>
      </top>
      <bottom style="thin">
        <color rgb="FF674EA7"/>
      </bottom>
    </border>
    <border>
      <left style="thin">
        <color rgb="FF674EA7"/>
      </left>
      <right style="thin">
        <color rgb="FF674EA7"/>
      </right>
      <top style="thin">
        <color rgb="FF674EA7"/>
      </top>
      <bottom style="thin">
        <color rgb="FF674EA7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4" fillId="0" fontId="3" numFmtId="0" xfId="0" applyAlignment="1" applyBorder="1" applyFont="1">
      <alignment horizontal="center" readingOrder="0" shrinkToFit="0" wrapText="1"/>
    </xf>
    <xf borderId="5" fillId="0" fontId="3" numFmtId="164" xfId="0" applyAlignment="1" applyBorder="1" applyFont="1" applyNumberFormat="1">
      <alignment horizontal="center" readingOrder="0"/>
    </xf>
    <xf borderId="6" fillId="0" fontId="4" numFmtId="0" xfId="0" applyBorder="1" applyFont="1"/>
    <xf borderId="7" fillId="0" fontId="3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 readingOrder="0" shrinkToFit="0" wrapText="1"/>
    </xf>
    <xf borderId="9" fillId="0" fontId="3" numFmtId="0" xfId="0" applyAlignment="1" applyBorder="1" applyFont="1">
      <alignment horizontal="center" readingOrder="0"/>
    </xf>
    <xf borderId="10" fillId="2" fontId="4" numFmtId="0" xfId="0" applyBorder="1" applyFill="1" applyFont="1"/>
    <xf borderId="0" fillId="0" fontId="3" numFmtId="0" xfId="0" applyAlignment="1" applyFont="1">
      <alignment horizontal="center" readingOrder="0"/>
    </xf>
    <xf borderId="0" fillId="2" fontId="4" numFmtId="0" xfId="0" applyFont="1"/>
    <xf borderId="4" fillId="0" fontId="3" numFmtId="0" xfId="0" applyAlignment="1" applyBorder="1" applyFont="1">
      <alignment horizontal="center" readingOrder="0" shrinkToFit="0" vertical="center" wrapText="1"/>
    </xf>
    <xf borderId="6" fillId="2" fontId="5" numFmtId="0" xfId="0" applyAlignment="1" applyBorder="1" applyFont="1">
      <alignment readingOrder="0"/>
    </xf>
    <xf borderId="4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6" fillId="2" fontId="4" numFmtId="0" xfId="0" applyBorder="1" applyFont="1"/>
    <xf borderId="11" fillId="0" fontId="1" numFmtId="164" xfId="0" applyAlignment="1" applyBorder="1" applyFont="1" applyNumberFormat="1">
      <alignment horizontal="center" shrinkToFit="0" wrapText="1"/>
    </xf>
    <xf borderId="6" fillId="2" fontId="6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5" fillId="0" fontId="3" numFmtId="164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2" fontId="5" numFmtId="0" xfId="0" applyAlignment="1" applyFont="1">
      <alignment readingOrder="0"/>
    </xf>
    <xf borderId="0" fillId="0" fontId="4" numFmtId="164" xfId="0" applyFont="1" applyNumberFormat="1"/>
    <xf borderId="0" fillId="0" fontId="3" numFmtId="0" xfId="0" applyAlignment="1" applyFont="1">
      <alignment horizontal="center" readingOrder="0" shrinkToFit="0" vertical="center" wrapText="1"/>
    </xf>
    <xf borderId="6" fillId="2" fontId="6" numFmtId="164" xfId="0" applyAlignment="1" applyBorder="1" applyFont="1" applyNumberFormat="1">
      <alignment horizontal="center" readingOrder="0" vertical="center"/>
    </xf>
    <xf borderId="12" fillId="0" fontId="1" numFmtId="0" xfId="0" applyAlignment="1" applyBorder="1" applyFont="1">
      <alignment horizontal="center" readingOrder="0" shrinkToFit="0" wrapText="1"/>
    </xf>
    <xf borderId="13" fillId="0" fontId="1" numFmtId="164" xfId="0" applyAlignment="1" applyBorder="1" applyFont="1" applyNumberFormat="1">
      <alignment horizontal="center"/>
    </xf>
    <xf borderId="14" fillId="2" fontId="7" numFmtId="0" xfId="0" applyAlignment="1" applyBorder="1" applyFont="1">
      <alignment horizontal="center" readingOrder="0"/>
    </xf>
    <xf borderId="13" fillId="0" fontId="1" numFmtId="164" xfId="0" applyAlignment="1" applyBorder="1" applyFont="1" applyNumberFormat="1">
      <alignment horizontal="center" readingOrder="0" vertical="center"/>
    </xf>
    <xf borderId="14" fillId="2" fontId="5" numFmtId="0" xfId="0" applyAlignment="1" applyBorder="1" applyFont="1">
      <alignment readingOrder="0"/>
    </xf>
    <xf borderId="0" fillId="0" fontId="1" numFmtId="0" xfId="0" applyAlignment="1" applyFont="1">
      <alignment horizontal="center" readingOrder="0" shrinkToFit="0" wrapText="1"/>
    </xf>
    <xf borderId="0" fillId="0" fontId="1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shrinkToFit="0" wrapText="1"/>
    </xf>
    <xf borderId="15" fillId="0" fontId="3" numFmtId="0" xfId="0" applyAlignment="1" applyBorder="1" applyFont="1">
      <alignment horizontal="center" readingOrder="0" shrinkToFit="0" wrapText="1"/>
    </xf>
    <xf borderId="16" fillId="0" fontId="3" numFmtId="0" xfId="0" applyAlignment="1" applyBorder="1" applyFont="1">
      <alignment horizontal="center" readingOrder="0"/>
    </xf>
    <xf borderId="16" fillId="0" fontId="4" numFmtId="0" xfId="0" applyBorder="1" applyFont="1"/>
    <xf borderId="15" fillId="0" fontId="3" numFmtId="0" xfId="0" applyAlignment="1" applyBorder="1" applyFont="1">
      <alignment horizontal="center" shrinkToFit="0" wrapText="1"/>
    </xf>
    <xf borderId="17" fillId="0" fontId="3" numFmtId="164" xfId="0" applyAlignment="1" applyBorder="1" applyFont="1" applyNumberFormat="1">
      <alignment horizontal="center" readingOrder="0"/>
    </xf>
    <xf borderId="17" fillId="2" fontId="5" numFmtId="0" xfId="0" applyAlignment="1" applyBorder="1" applyFont="1">
      <alignment readingOrder="0"/>
    </xf>
    <xf borderId="0" fillId="0" fontId="1" numFmtId="0" xfId="0" applyAlignment="1" applyFont="1">
      <alignment horizontal="center" readingOrder="0" vertical="bottom"/>
    </xf>
    <xf borderId="15" fillId="0" fontId="3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17" fillId="0" fontId="3" numFmtId="164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0" fillId="0" fontId="8" numFmtId="0" xfId="0" applyAlignment="1" applyFont="1">
      <alignment readingOrder="0"/>
    </xf>
    <xf borderId="18" fillId="0" fontId="1" numFmtId="0" xfId="0" applyAlignment="1" applyBorder="1" applyFont="1">
      <alignment horizontal="center" readingOrder="0" shrinkToFit="0" wrapText="1"/>
    </xf>
    <xf borderId="19" fillId="0" fontId="1" numFmtId="164" xfId="0" applyAlignment="1" applyBorder="1" applyFont="1" applyNumberFormat="1">
      <alignment horizontal="center"/>
    </xf>
    <xf borderId="19" fillId="2" fontId="5" numFmtId="0" xfId="0" applyAlignment="1" applyBorder="1" applyFont="1">
      <alignment readingOrder="0"/>
    </xf>
    <xf borderId="0" fillId="0" fontId="8" numFmtId="164" xfId="0" applyAlignment="1" applyFont="1" applyNumberFormat="1">
      <alignment readingOrder="0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4" fillId="0" fontId="3" numFmtId="0" xfId="0" applyAlignment="1" applyBorder="1" applyFont="1">
      <alignment horizontal="center" shrinkToFit="0" wrapText="1"/>
    </xf>
    <xf borderId="0" fillId="0" fontId="9" numFmtId="0" xfId="0" applyAlignment="1" applyFont="1">
      <alignment readingOrder="0" shrinkToFit="0" vertical="bottom" wrapText="0"/>
    </xf>
    <xf borderId="0" fillId="0" fontId="8" numFmtId="0" xfId="0" applyAlignment="1" applyFont="1">
      <alignment horizontal="right" vertical="bottom"/>
    </xf>
    <xf borderId="4" fillId="0" fontId="1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right" readingOrder="0" shrinkToFit="0" vertical="bottom" wrapText="0"/>
    </xf>
    <xf borderId="19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vertical="bottom" wrapText="1"/>
    </xf>
    <xf borderId="0" fillId="0" fontId="8" numFmtId="164" xfId="0" applyAlignment="1" applyFont="1" applyNumberFormat="1">
      <alignment vertical="bottom"/>
    </xf>
    <xf borderId="15" fillId="0" fontId="3" numFmtId="0" xfId="0" applyAlignment="1" applyBorder="1" applyFont="1">
      <alignment horizontal="center" shrinkToFit="0" vertical="bottom" wrapText="1"/>
    </xf>
    <xf borderId="16" fillId="0" fontId="3" numFmtId="0" xfId="0" applyAlignment="1" applyBorder="1" applyFont="1">
      <alignment horizontal="center" vertical="bottom"/>
    </xf>
    <xf borderId="16" fillId="0" fontId="8" numFmtId="0" xfId="0" applyAlignment="1" applyBorder="1" applyFont="1">
      <alignment vertical="bottom"/>
    </xf>
    <xf borderId="15" fillId="0" fontId="3" numFmtId="0" xfId="0" applyAlignment="1" applyBorder="1" applyFont="1">
      <alignment horizontal="center" readingOrder="0" shrinkToFit="0" vertical="bottom" wrapText="1"/>
    </xf>
    <xf borderId="17" fillId="0" fontId="3" numFmtId="164" xfId="0" applyAlignment="1" applyBorder="1" applyFont="1" applyNumberFormat="1">
      <alignment horizontal="center" readingOrder="0" vertical="bottom"/>
    </xf>
    <xf borderId="17" fillId="2" fontId="8" numFmtId="0" xfId="0" applyAlignment="1" applyBorder="1" applyFont="1">
      <alignment horizontal="center" readingOrder="0"/>
    </xf>
    <xf borderId="15" fillId="0" fontId="3" numFmtId="0" xfId="0" applyAlignment="1" applyBorder="1" applyFont="1">
      <alignment horizontal="center" shrinkToFit="0" wrapText="1"/>
    </xf>
    <xf borderId="17" fillId="0" fontId="3" numFmtId="164" xfId="0" applyAlignment="1" applyBorder="1" applyFont="1" applyNumberFormat="1">
      <alignment horizontal="center" vertical="bottom"/>
    </xf>
    <xf borderId="17" fillId="2" fontId="8" numFmtId="0" xfId="0" applyAlignment="1" applyBorder="1" applyFont="1">
      <alignment horizontal="center"/>
    </xf>
    <xf borderId="17" fillId="0" fontId="3" numFmtId="164" xfId="0" applyAlignment="1" applyBorder="1" applyFont="1" applyNumberFormat="1">
      <alignment horizontal="center"/>
    </xf>
    <xf borderId="15" fillId="0" fontId="8" numFmtId="0" xfId="0" applyBorder="1" applyFont="1"/>
    <xf borderId="17" fillId="0" fontId="8" numFmtId="164" xfId="0" applyAlignment="1" applyBorder="1" applyFont="1" applyNumberFormat="1">
      <alignment vertical="bottom"/>
    </xf>
    <xf borderId="18" fillId="0" fontId="1" numFmtId="0" xfId="0" applyAlignment="1" applyBorder="1" applyFont="1">
      <alignment horizontal="center" shrinkToFit="0" vertical="bottom" wrapText="1"/>
    </xf>
    <xf borderId="19" fillId="0" fontId="1" numFmtId="164" xfId="0" applyAlignment="1" applyBorder="1" applyFont="1" applyNumberFormat="1">
      <alignment horizontal="center" vertical="bottom"/>
    </xf>
    <xf borderId="19" fillId="2" fontId="8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5" fillId="0" fontId="3" numFmtId="164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center" readingOrder="0" vertical="center"/>
    </xf>
    <xf borderId="0" fillId="0" fontId="8" numFmtId="164" xfId="0" applyAlignment="1" applyFont="1" applyNumberFormat="1">
      <alignment horizontal="center" readingOrder="0" vertical="center"/>
    </xf>
    <xf borderId="0" fillId="3" fontId="10" numFmtId="0" xfId="0" applyAlignment="1" applyFill="1" applyFont="1">
      <alignment vertical="bottom"/>
    </xf>
    <xf borderId="0" fillId="3" fontId="10" numFmtId="0" xfId="0" applyAlignment="1" applyFont="1">
      <alignment readingOrder="0" vertical="bottom"/>
    </xf>
    <xf borderId="0" fillId="4" fontId="8" numFmtId="164" xfId="0" applyAlignment="1" applyFill="1" applyFont="1" applyNumberFormat="1">
      <alignment vertical="bottom"/>
    </xf>
    <xf borderId="0" fillId="4" fontId="8" numFmtId="164" xfId="0" applyAlignment="1" applyFont="1" applyNumberFormat="1">
      <alignment horizontal="right" vertical="bottom"/>
    </xf>
    <xf borderId="0" fillId="4" fontId="8" numFmtId="164" xfId="0" applyAlignment="1" applyFont="1" applyNumberFormat="1">
      <alignment readingOrder="0" vertical="bottom"/>
    </xf>
    <xf borderId="0" fillId="5" fontId="11" numFmtId="164" xfId="0" applyAlignment="1" applyFill="1" applyFont="1" applyNumberFormat="1">
      <alignment readingOrder="0" vertical="bottom"/>
    </xf>
    <xf borderId="0" fillId="5" fontId="12" numFmtId="0" xfId="0" applyAlignment="1" applyFont="1">
      <alignment readingOrder="0"/>
    </xf>
    <xf borderId="0" fillId="5" fontId="11" numFmtId="164" xfId="0" applyAlignment="1" applyFont="1" applyNumberFormat="1">
      <alignment horizontal="right" vertical="bottom"/>
    </xf>
    <xf borderId="0" fillId="5" fontId="11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4.13"/>
    <col customWidth="1" min="6" max="6" width="20.13"/>
    <col customWidth="1" min="10" max="10" width="29.63"/>
  </cols>
  <sheetData>
    <row r="1">
      <c r="B1" s="1" t="s">
        <v>0</v>
      </c>
      <c r="C1" s="2"/>
      <c r="D1" s="3"/>
      <c r="F1" s="4" t="s">
        <v>1</v>
      </c>
      <c r="G1" s="2"/>
      <c r="H1" s="3"/>
      <c r="J1" s="5"/>
    </row>
    <row r="2">
      <c r="B2" s="6" t="s">
        <v>2</v>
      </c>
      <c r="C2" s="7" t="s">
        <v>3</v>
      </c>
      <c r="D2" s="8"/>
      <c r="F2" s="9" t="s">
        <v>2</v>
      </c>
      <c r="G2" s="11" t="s">
        <v>3</v>
      </c>
      <c r="H2" s="12"/>
      <c r="J2" s="10" t="s">
        <v>4</v>
      </c>
      <c r="K2" s="13"/>
      <c r="L2" s="14"/>
    </row>
    <row r="3">
      <c r="B3" s="15" t="s">
        <v>5</v>
      </c>
      <c r="C3" s="7">
        <v>429.97</v>
      </c>
      <c r="D3" s="16" t="b">
        <v>1</v>
      </c>
      <c r="F3" s="17"/>
      <c r="G3" s="18"/>
      <c r="H3" s="19"/>
      <c r="J3" s="20">
        <f>SUM(C8,G8,G17,C17,C27,G27,C39,G35,K4,K18,K9,C47,G47,C57,G58)</f>
        <v>5220.93</v>
      </c>
      <c r="K3" s="13"/>
      <c r="L3" s="14"/>
    </row>
    <row r="4">
      <c r="B4" s="15" t="s">
        <v>6</v>
      </c>
      <c r="C4" s="7">
        <v>133.75</v>
      </c>
      <c r="D4" s="21" t="b">
        <v>1</v>
      </c>
      <c r="F4" s="22" t="s">
        <v>5</v>
      </c>
      <c r="G4" s="23"/>
      <c r="H4" s="16" t="b">
        <v>0</v>
      </c>
      <c r="J4" s="24"/>
      <c r="K4" s="25"/>
      <c r="L4" s="26"/>
    </row>
    <row r="5">
      <c r="B5" s="15" t="s">
        <v>7</v>
      </c>
      <c r="C5" s="7">
        <v>101.0</v>
      </c>
      <c r="D5" s="21" t="b">
        <v>1</v>
      </c>
      <c r="F5" s="22" t="s">
        <v>6</v>
      </c>
      <c r="G5" s="23"/>
      <c r="H5" s="16" t="b">
        <v>0</v>
      </c>
      <c r="J5" s="24"/>
      <c r="K5" s="25"/>
      <c r="L5" s="26"/>
    </row>
    <row r="6">
      <c r="A6" s="27"/>
      <c r="B6" s="15" t="s">
        <v>9</v>
      </c>
      <c r="C6" s="23">
        <v>379.0</v>
      </c>
      <c r="D6" s="21" t="b">
        <v>1</v>
      </c>
      <c r="F6" s="15" t="s">
        <v>10</v>
      </c>
      <c r="G6" s="23">
        <v>30.0</v>
      </c>
      <c r="H6" s="16" t="b">
        <v>1</v>
      </c>
      <c r="J6" s="28"/>
      <c r="K6" s="25"/>
      <c r="L6" s="26"/>
    </row>
    <row r="7">
      <c r="B7" s="15"/>
      <c r="C7" s="23"/>
      <c r="D7" s="29" t="b">
        <v>0</v>
      </c>
      <c r="F7" s="15" t="s">
        <v>11</v>
      </c>
      <c r="G7" s="23"/>
      <c r="H7" s="16" t="b">
        <v>0</v>
      </c>
      <c r="J7" s="28"/>
      <c r="K7" s="25"/>
      <c r="L7" s="26"/>
    </row>
    <row r="8">
      <c r="B8" s="30" t="s">
        <v>13</v>
      </c>
      <c r="C8" s="31">
        <f>SUM(C3:C7)</f>
        <v>1043.72</v>
      </c>
      <c r="D8" s="32" t="b">
        <v>1</v>
      </c>
      <c r="F8" s="30" t="s">
        <v>13</v>
      </c>
      <c r="G8" s="33">
        <f>SUM(G4:G7)</f>
        <v>30</v>
      </c>
      <c r="H8" s="34" t="b">
        <v>1</v>
      </c>
      <c r="J8" s="35"/>
      <c r="K8" s="36"/>
      <c r="L8" s="26"/>
    </row>
    <row r="9">
      <c r="B9" s="37"/>
      <c r="J9" s="35"/>
      <c r="K9" s="36"/>
      <c r="L9" s="36"/>
    </row>
    <row r="10">
      <c r="B10" s="1" t="s">
        <v>18</v>
      </c>
      <c r="C10" s="2"/>
      <c r="D10" s="3"/>
      <c r="F10" s="4" t="s">
        <v>19</v>
      </c>
      <c r="G10" s="2"/>
      <c r="H10" s="3"/>
    </row>
    <row r="11">
      <c r="B11" s="38" t="s">
        <v>2</v>
      </c>
      <c r="C11" s="39" t="s">
        <v>3</v>
      </c>
      <c r="D11" s="40"/>
      <c r="F11" s="9" t="s">
        <v>2</v>
      </c>
      <c r="G11" s="11" t="s">
        <v>3</v>
      </c>
      <c r="H11" s="12"/>
    </row>
    <row r="12">
      <c r="B12" s="41" t="s">
        <v>20</v>
      </c>
      <c r="C12" s="42">
        <f>49.34+51.09</f>
        <v>100.43</v>
      </c>
      <c r="D12" s="43" t="b">
        <v>1</v>
      </c>
      <c r="F12" s="22" t="s">
        <v>5</v>
      </c>
      <c r="G12" s="23">
        <v>489.23</v>
      </c>
      <c r="H12" s="16" t="b">
        <v>1</v>
      </c>
      <c r="J12" s="44"/>
    </row>
    <row r="13">
      <c r="B13" s="45" t="s">
        <v>6</v>
      </c>
      <c r="C13" s="42">
        <f>20+25+28</f>
        <v>73</v>
      </c>
      <c r="D13" s="43" t="b">
        <v>1</v>
      </c>
      <c r="F13" s="15" t="s">
        <v>21</v>
      </c>
      <c r="G13" s="23">
        <v>103.11</v>
      </c>
      <c r="H13" s="46" t="b">
        <v>1</v>
      </c>
      <c r="J13" s="47"/>
      <c r="K13" s="48"/>
      <c r="L13" s="49"/>
    </row>
    <row r="14">
      <c r="B14" s="45" t="s">
        <v>23</v>
      </c>
      <c r="C14" s="50">
        <v>88.88</v>
      </c>
      <c r="D14" s="43" t="b">
        <v>1</v>
      </c>
      <c r="F14" s="15"/>
      <c r="G14" s="23"/>
      <c r="H14" s="46" t="b">
        <v>0</v>
      </c>
      <c r="J14" s="51"/>
      <c r="K14" s="25"/>
      <c r="L14" s="52"/>
    </row>
    <row r="15">
      <c r="B15" s="45" t="s">
        <v>24</v>
      </c>
      <c r="C15" s="50">
        <v>221.44</v>
      </c>
      <c r="D15" s="43" t="b">
        <v>1</v>
      </c>
      <c r="F15" s="15"/>
      <c r="G15" s="23"/>
      <c r="H15" s="46" t="b">
        <v>0</v>
      </c>
      <c r="J15" s="51"/>
      <c r="K15" s="25"/>
      <c r="L15" s="52"/>
    </row>
    <row r="16">
      <c r="B16" s="45" t="s">
        <v>26</v>
      </c>
      <c r="C16" s="42">
        <v>284.99</v>
      </c>
      <c r="D16" s="43" t="b">
        <v>1</v>
      </c>
      <c r="F16" s="15"/>
      <c r="G16" s="23"/>
      <c r="H16" s="46" t="b">
        <v>0</v>
      </c>
      <c r="J16" s="28"/>
      <c r="K16" s="25"/>
      <c r="L16" s="52"/>
    </row>
    <row r="17">
      <c r="B17" s="53" t="s">
        <v>13</v>
      </c>
      <c r="C17" s="54">
        <f>SUM(C12:C16)</f>
        <v>768.74</v>
      </c>
      <c r="D17" s="55" t="b">
        <v>0</v>
      </c>
      <c r="F17" s="30" t="s">
        <v>13</v>
      </c>
      <c r="G17" s="33">
        <f>SUM(G12:G16)</f>
        <v>592.34</v>
      </c>
      <c r="H17" s="34" t="b">
        <v>1</v>
      </c>
      <c r="J17" s="51"/>
      <c r="K17" s="25"/>
      <c r="L17" s="56"/>
    </row>
    <row r="18">
      <c r="B18" s="37"/>
      <c r="J18" s="57"/>
      <c r="K18" s="58"/>
      <c r="L18" s="56"/>
    </row>
    <row r="19">
      <c r="B19" s="1" t="s">
        <v>31</v>
      </c>
      <c r="C19" s="2"/>
      <c r="D19" s="3"/>
      <c r="F19" s="4" t="s">
        <v>32</v>
      </c>
      <c r="G19" s="2"/>
      <c r="H19" s="3"/>
    </row>
    <row r="20">
      <c r="B20" s="6" t="s">
        <v>2</v>
      </c>
      <c r="C20" s="11" t="s">
        <v>3</v>
      </c>
      <c r="D20" s="8"/>
      <c r="F20" s="9" t="s">
        <v>2</v>
      </c>
      <c r="G20" s="11" t="s">
        <v>3</v>
      </c>
      <c r="H20" s="12"/>
    </row>
    <row r="21">
      <c r="B21" s="15" t="s">
        <v>33</v>
      </c>
      <c r="C21" s="23">
        <v>50.0</v>
      </c>
      <c r="D21" s="16" t="b">
        <v>1</v>
      </c>
      <c r="F21" s="22" t="s">
        <v>5</v>
      </c>
      <c r="G21" s="23">
        <f>15.95+18.95+16.95+14.95+15.93+10.96+8.94+21.98+16.96+14.95</f>
        <v>156.52</v>
      </c>
      <c r="H21" s="16" t="b">
        <v>1</v>
      </c>
      <c r="J21" s="5"/>
    </row>
    <row r="22">
      <c r="B22" s="15" t="s">
        <v>34</v>
      </c>
      <c r="C22" s="23"/>
      <c r="D22" s="16" t="b">
        <v>0</v>
      </c>
      <c r="F22" s="22" t="s">
        <v>6</v>
      </c>
      <c r="G22" s="23"/>
      <c r="H22" s="16" t="b">
        <v>0</v>
      </c>
      <c r="J22" s="13"/>
      <c r="K22" s="13"/>
      <c r="L22" s="14"/>
    </row>
    <row r="23">
      <c r="B23" s="15" t="s">
        <v>35</v>
      </c>
      <c r="C23" s="23">
        <v>442.16</v>
      </c>
      <c r="D23" s="16" t="b">
        <v>1</v>
      </c>
      <c r="F23" s="15" t="s">
        <v>37</v>
      </c>
      <c r="G23" s="23">
        <v>60.0</v>
      </c>
      <c r="H23" s="16" t="b">
        <v>1</v>
      </c>
      <c r="J23" s="24"/>
      <c r="K23" s="25"/>
      <c r="L23" s="26"/>
    </row>
    <row r="24">
      <c r="B24" s="15" t="s">
        <v>38</v>
      </c>
      <c r="C24" s="23">
        <v>45.8</v>
      </c>
      <c r="D24" s="16" t="b">
        <v>1</v>
      </c>
      <c r="F24" s="15" t="s">
        <v>39</v>
      </c>
      <c r="G24" s="23">
        <v>90.0</v>
      </c>
      <c r="H24" s="16" t="b">
        <v>1</v>
      </c>
      <c r="J24" s="35"/>
      <c r="K24" s="36"/>
      <c r="L24" s="36"/>
    </row>
    <row r="25">
      <c r="B25" s="15" t="s">
        <v>41</v>
      </c>
      <c r="C25" s="23">
        <v>99.7</v>
      </c>
      <c r="D25" s="16" t="b">
        <v>1</v>
      </c>
      <c r="F25" s="15"/>
      <c r="G25" s="23"/>
      <c r="H25" s="16" t="b">
        <v>0</v>
      </c>
    </row>
    <row r="26">
      <c r="B26" s="15" t="s">
        <v>43</v>
      </c>
      <c r="C26" s="23"/>
      <c r="D26" s="16" t="b">
        <v>0</v>
      </c>
      <c r="F26" s="15"/>
      <c r="G26" s="23"/>
      <c r="H26" s="16" t="b">
        <v>0</v>
      </c>
    </row>
    <row r="27">
      <c r="B27" s="30" t="s">
        <v>13</v>
      </c>
      <c r="C27" s="31">
        <f>SUM(C21:C26)</f>
        <v>637.66</v>
      </c>
      <c r="D27" s="34" t="b">
        <v>0</v>
      </c>
      <c r="F27" s="30" t="s">
        <v>13</v>
      </c>
      <c r="G27" s="33">
        <f>SUM(G21:G26)</f>
        <v>306.52</v>
      </c>
      <c r="H27" s="34" t="b">
        <v>1</v>
      </c>
    </row>
    <row r="28">
      <c r="B28" s="37"/>
    </row>
    <row r="29">
      <c r="B29" s="1" t="s">
        <v>40</v>
      </c>
      <c r="C29" s="2"/>
      <c r="D29" s="3"/>
      <c r="F29" s="4" t="s">
        <v>45</v>
      </c>
      <c r="G29" s="2"/>
      <c r="H29" s="3"/>
    </row>
    <row r="30">
      <c r="B30" s="6" t="s">
        <v>2</v>
      </c>
      <c r="C30" s="11" t="s">
        <v>3</v>
      </c>
      <c r="D30" s="8"/>
      <c r="F30" s="9" t="s">
        <v>2</v>
      </c>
      <c r="G30" s="11" t="s">
        <v>3</v>
      </c>
      <c r="H30" s="12"/>
    </row>
    <row r="31">
      <c r="B31" s="15"/>
      <c r="C31" s="7"/>
      <c r="D31" s="16" t="b">
        <v>0</v>
      </c>
      <c r="F31" s="22" t="s">
        <v>5</v>
      </c>
      <c r="G31" s="23"/>
      <c r="H31" s="16" t="b">
        <v>0</v>
      </c>
    </row>
    <row r="32">
      <c r="B32" s="59" t="s">
        <v>20</v>
      </c>
      <c r="C32" s="7"/>
      <c r="D32" s="16" t="b">
        <v>0</v>
      </c>
      <c r="F32" s="17" t="s">
        <v>52</v>
      </c>
      <c r="G32" s="23"/>
      <c r="H32" s="16" t="b">
        <v>0</v>
      </c>
    </row>
    <row r="33">
      <c r="B33" s="15" t="s">
        <v>44</v>
      </c>
      <c r="C33" s="23">
        <v>4.5</v>
      </c>
      <c r="D33" s="16" t="b">
        <v>1</v>
      </c>
      <c r="F33" s="6" t="s">
        <v>53</v>
      </c>
      <c r="G33" s="23"/>
      <c r="H33" s="16" t="b">
        <v>0</v>
      </c>
    </row>
    <row r="34">
      <c r="B34" s="6"/>
      <c r="C34" s="23"/>
      <c r="D34" s="16" t="b">
        <v>0</v>
      </c>
      <c r="F34" s="6" t="s">
        <v>54</v>
      </c>
      <c r="G34" s="23"/>
      <c r="H34" s="16" t="b">
        <v>0</v>
      </c>
    </row>
    <row r="35">
      <c r="B35" s="6" t="s">
        <v>55</v>
      </c>
      <c r="C35" s="7">
        <v>324.95</v>
      </c>
      <c r="D35" s="16" t="b">
        <v>1</v>
      </c>
      <c r="F35" s="30" t="s">
        <v>13</v>
      </c>
      <c r="G35" s="33">
        <f>SUM(G31:G34)</f>
        <v>0</v>
      </c>
      <c r="H35" s="34" t="b">
        <v>0</v>
      </c>
    </row>
    <row r="36">
      <c r="B36" s="6" t="s">
        <v>56</v>
      </c>
      <c r="C36" s="7">
        <v>144.5</v>
      </c>
      <c r="D36" s="16" t="b">
        <v>1</v>
      </c>
    </row>
    <row r="37">
      <c r="B37" s="6" t="s">
        <v>57</v>
      </c>
      <c r="C37" s="23">
        <f>145.83*2</f>
        <v>291.66</v>
      </c>
      <c r="D37" s="16" t="b">
        <v>1</v>
      </c>
    </row>
    <row r="38">
      <c r="B38" s="6" t="s">
        <v>70</v>
      </c>
      <c r="C38" s="7">
        <v>274.91</v>
      </c>
      <c r="D38" s="16" t="b">
        <v>0</v>
      </c>
    </row>
    <row r="39">
      <c r="B39" s="30" t="s">
        <v>13</v>
      </c>
      <c r="C39" s="31">
        <f>SUM(C31:C38)</f>
        <v>1040.52</v>
      </c>
      <c r="D39" s="34" t="b">
        <v>1</v>
      </c>
      <c r="F39" s="60"/>
      <c r="G39" s="63"/>
    </row>
    <row r="40">
      <c r="B40" s="37"/>
      <c r="F40" s="60"/>
      <c r="G40" s="63"/>
    </row>
    <row r="41">
      <c r="B41" s="4" t="s">
        <v>60</v>
      </c>
      <c r="C41" s="2"/>
      <c r="D41" s="3"/>
      <c r="F41" s="4" t="s">
        <v>61</v>
      </c>
      <c r="G41" s="2"/>
      <c r="H41" s="3"/>
    </row>
    <row r="42">
      <c r="B42" s="9" t="s">
        <v>2</v>
      </c>
      <c r="C42" s="11" t="s">
        <v>3</v>
      </c>
      <c r="D42" s="12"/>
      <c r="F42" s="9" t="s">
        <v>2</v>
      </c>
      <c r="G42" s="11" t="s">
        <v>3</v>
      </c>
      <c r="H42" s="12"/>
    </row>
    <row r="43">
      <c r="B43" s="22" t="s">
        <v>5</v>
      </c>
      <c r="C43" s="23">
        <v>32.89</v>
      </c>
      <c r="D43" s="16" t="b">
        <v>1</v>
      </c>
      <c r="F43" s="22" t="s">
        <v>5</v>
      </c>
      <c r="G43" s="23">
        <f>21.94+36.96+27.95+21.7+26.96+23.13+26+23.8</f>
        <v>208.44</v>
      </c>
      <c r="H43" s="16" t="b">
        <v>1</v>
      </c>
    </row>
    <row r="44">
      <c r="B44" s="17" t="s">
        <v>64</v>
      </c>
      <c r="C44" s="23">
        <v>110.0</v>
      </c>
      <c r="D44" s="16" t="b">
        <v>1</v>
      </c>
      <c r="F44" s="17" t="s">
        <v>65</v>
      </c>
      <c r="G44" s="23">
        <v>0.0</v>
      </c>
      <c r="H44" s="16" t="b">
        <v>0</v>
      </c>
      <c r="L44" s="25"/>
    </row>
    <row r="45">
      <c r="B45" s="6" t="s">
        <v>67</v>
      </c>
      <c r="C45" s="23"/>
      <c r="D45" s="16" t="b">
        <v>0</v>
      </c>
      <c r="F45" s="6" t="s">
        <v>68</v>
      </c>
      <c r="G45" s="23">
        <v>0.0</v>
      </c>
      <c r="H45" s="16" t="b">
        <v>0</v>
      </c>
      <c r="L45" s="25"/>
    </row>
    <row r="46">
      <c r="B46" s="6" t="s">
        <v>69</v>
      </c>
      <c r="C46" s="23"/>
      <c r="D46" s="16" t="b">
        <v>0</v>
      </c>
      <c r="F46" s="6"/>
      <c r="G46" s="23"/>
      <c r="H46" s="16" t="b">
        <v>0</v>
      </c>
      <c r="L46" s="25"/>
    </row>
    <row r="47">
      <c r="B47" s="64" t="s">
        <v>13</v>
      </c>
      <c r="C47" s="33">
        <f>SUM(C43:C46)</f>
        <v>142.89</v>
      </c>
      <c r="D47" s="34" t="b">
        <v>0</v>
      </c>
      <c r="F47" s="64" t="s">
        <v>13</v>
      </c>
      <c r="G47" s="33">
        <f>SUM(G43:G46)</f>
        <v>208.44</v>
      </c>
      <c r="H47" s="34" t="b">
        <v>1</v>
      </c>
      <c r="L47" s="25"/>
    </row>
    <row r="48">
      <c r="B48" s="37"/>
      <c r="L48" s="36"/>
    </row>
    <row r="49">
      <c r="B49" s="37"/>
    </row>
    <row r="50">
      <c r="B50" s="37"/>
      <c r="E50" s="49"/>
      <c r="F50" s="49"/>
    </row>
    <row r="51">
      <c r="B51" s="4" t="s">
        <v>72</v>
      </c>
      <c r="C51" s="2"/>
      <c r="D51" s="3"/>
      <c r="E51" s="49"/>
      <c r="F51" s="65" t="s">
        <v>73</v>
      </c>
      <c r="G51" s="2"/>
      <c r="H51" s="3"/>
    </row>
    <row r="52">
      <c r="B52" s="9" t="s">
        <v>2</v>
      </c>
      <c r="C52" s="11" t="s">
        <v>3</v>
      </c>
      <c r="D52" s="12"/>
      <c r="E52" s="49"/>
      <c r="F52" s="67" t="s">
        <v>2</v>
      </c>
      <c r="G52" s="68" t="s">
        <v>3</v>
      </c>
      <c r="H52" s="69"/>
    </row>
    <row r="53">
      <c r="B53" s="22" t="s">
        <v>74</v>
      </c>
      <c r="C53" s="23">
        <v>185.0</v>
      </c>
      <c r="D53" s="16" t="b">
        <v>0</v>
      </c>
      <c r="E53" s="49"/>
      <c r="F53" s="70" t="s">
        <v>79</v>
      </c>
      <c r="G53" s="71">
        <v>139.0</v>
      </c>
      <c r="H53" s="72" t="b">
        <v>1</v>
      </c>
    </row>
    <row r="54">
      <c r="B54" s="17" t="s">
        <v>80</v>
      </c>
      <c r="C54" s="23">
        <v>18.0</v>
      </c>
      <c r="D54" s="16" t="b">
        <v>0</v>
      </c>
      <c r="E54" s="49"/>
      <c r="F54" s="38" t="s">
        <v>36</v>
      </c>
      <c r="G54" s="74">
        <f>9+20.9+24.1+4.4+12.7+12.8+24.2</f>
        <v>108.1</v>
      </c>
      <c r="H54" s="75" t="b">
        <v>0</v>
      </c>
    </row>
    <row r="55">
      <c r="B55" s="6"/>
      <c r="C55" s="23"/>
      <c r="D55" s="16" t="b">
        <v>0</v>
      </c>
      <c r="E55" s="49"/>
      <c r="F55" s="73"/>
      <c r="G55" s="76"/>
      <c r="H55" s="75" t="b">
        <v>0</v>
      </c>
    </row>
    <row r="56">
      <c r="B56" s="6"/>
      <c r="C56" s="23"/>
      <c r="D56" s="16" t="b">
        <v>0</v>
      </c>
      <c r="E56" s="49"/>
      <c r="F56" s="73"/>
      <c r="G56" s="76"/>
      <c r="H56" s="75" t="b">
        <v>0</v>
      </c>
    </row>
    <row r="57">
      <c r="B57" s="64" t="s">
        <v>13</v>
      </c>
      <c r="C57" s="33">
        <f>SUM(C53:C56)</f>
        <v>203</v>
      </c>
      <c r="D57" s="34" t="b">
        <v>0</v>
      </c>
      <c r="E57" s="49"/>
      <c r="F57" s="77"/>
      <c r="G57" s="78"/>
      <c r="H57" s="75" t="b">
        <v>0</v>
      </c>
    </row>
    <row r="58">
      <c r="B58" s="37"/>
      <c r="E58" s="49"/>
      <c r="F58" s="79" t="s">
        <v>13</v>
      </c>
      <c r="G58" s="80">
        <f>SUM(G53:G57)</f>
        <v>247.1</v>
      </c>
      <c r="H58" s="81" t="b">
        <v>1</v>
      </c>
    </row>
    <row r="59">
      <c r="B59" s="37"/>
    </row>
    <row r="60">
      <c r="B60" s="37"/>
    </row>
    <row r="61">
      <c r="B61" s="37"/>
    </row>
    <row r="62">
      <c r="B62" s="37"/>
    </row>
    <row r="63">
      <c r="B63" s="37"/>
    </row>
    <row r="64">
      <c r="B64" s="37"/>
    </row>
    <row r="65">
      <c r="B65" s="37"/>
    </row>
    <row r="66">
      <c r="B66" s="37"/>
    </row>
    <row r="67">
      <c r="B67" s="37"/>
    </row>
    <row r="68">
      <c r="B68" s="37"/>
    </row>
    <row r="69">
      <c r="B69" s="37"/>
    </row>
    <row r="70">
      <c r="B70" s="37"/>
    </row>
    <row r="71">
      <c r="B71" s="37"/>
    </row>
    <row r="72">
      <c r="B72" s="37"/>
    </row>
    <row r="73">
      <c r="B73" s="37"/>
    </row>
    <row r="74">
      <c r="B74" s="37"/>
    </row>
    <row r="75">
      <c r="B75" s="37"/>
    </row>
    <row r="76">
      <c r="B76" s="37"/>
    </row>
    <row r="77">
      <c r="B77" s="37"/>
    </row>
    <row r="78">
      <c r="B78" s="37"/>
    </row>
    <row r="79">
      <c r="B79" s="37"/>
    </row>
    <row r="80">
      <c r="B80" s="37"/>
    </row>
    <row r="81">
      <c r="B81" s="37"/>
    </row>
    <row r="82">
      <c r="B82" s="37"/>
    </row>
    <row r="83">
      <c r="B83" s="37"/>
    </row>
    <row r="84">
      <c r="B84" s="37"/>
    </row>
    <row r="85">
      <c r="B85" s="37"/>
    </row>
    <row r="86">
      <c r="B86" s="37"/>
    </row>
    <row r="87">
      <c r="B87" s="37"/>
    </row>
    <row r="88">
      <c r="B88" s="37"/>
    </row>
    <row r="89">
      <c r="B89" s="37"/>
    </row>
    <row r="90">
      <c r="B90" s="37"/>
    </row>
    <row r="91">
      <c r="B91" s="37"/>
    </row>
    <row r="92">
      <c r="B92" s="37"/>
    </row>
    <row r="93">
      <c r="B93" s="37"/>
    </row>
    <row r="94">
      <c r="B94" s="37"/>
    </row>
    <row r="95">
      <c r="B95" s="37"/>
    </row>
    <row r="96">
      <c r="B96" s="37"/>
    </row>
    <row r="97">
      <c r="B97" s="37"/>
    </row>
    <row r="98">
      <c r="B98" s="37"/>
    </row>
    <row r="99">
      <c r="B99" s="37"/>
    </row>
    <row r="100">
      <c r="B100" s="37"/>
    </row>
    <row r="101">
      <c r="B101" s="37"/>
    </row>
    <row r="102">
      <c r="B102" s="37"/>
    </row>
    <row r="103">
      <c r="B103" s="37"/>
    </row>
    <row r="104">
      <c r="B104" s="37"/>
    </row>
    <row r="105">
      <c r="B105" s="37"/>
    </row>
    <row r="106">
      <c r="B106" s="37"/>
    </row>
    <row r="107">
      <c r="B107" s="37"/>
    </row>
    <row r="108">
      <c r="B108" s="37"/>
    </row>
    <row r="109">
      <c r="B109" s="37"/>
    </row>
    <row r="110">
      <c r="B110" s="37"/>
    </row>
    <row r="111">
      <c r="B111" s="37"/>
    </row>
    <row r="112">
      <c r="B112" s="37"/>
    </row>
    <row r="113">
      <c r="B113" s="37"/>
    </row>
    <row r="114">
      <c r="B114" s="37"/>
    </row>
    <row r="115">
      <c r="B115" s="37"/>
    </row>
    <row r="116">
      <c r="B116" s="37"/>
    </row>
    <row r="117">
      <c r="B117" s="37"/>
    </row>
    <row r="118">
      <c r="B118" s="37"/>
    </row>
    <row r="119">
      <c r="B119" s="37"/>
    </row>
    <row r="120">
      <c r="B120" s="37"/>
    </row>
    <row r="121">
      <c r="B121" s="37"/>
    </row>
    <row r="122">
      <c r="B122" s="37"/>
    </row>
    <row r="123">
      <c r="B123" s="37"/>
    </row>
    <row r="124">
      <c r="B124" s="37"/>
    </row>
    <row r="125">
      <c r="B125" s="37"/>
    </row>
    <row r="126">
      <c r="B126" s="37"/>
    </row>
    <row r="127">
      <c r="B127" s="37"/>
    </row>
    <row r="128">
      <c r="B128" s="37"/>
    </row>
    <row r="129">
      <c r="B129" s="37"/>
    </row>
    <row r="130">
      <c r="B130" s="37"/>
    </row>
    <row r="131">
      <c r="B131" s="37"/>
    </row>
    <row r="132">
      <c r="B132" s="37"/>
    </row>
    <row r="133">
      <c r="B133" s="37"/>
    </row>
    <row r="134">
      <c r="B134" s="37"/>
    </row>
    <row r="135">
      <c r="B135" s="37"/>
    </row>
    <row r="136">
      <c r="B136" s="37"/>
    </row>
    <row r="137">
      <c r="B137" s="37"/>
    </row>
    <row r="138">
      <c r="B138" s="37"/>
    </row>
    <row r="139">
      <c r="B139" s="37"/>
    </row>
    <row r="140">
      <c r="B140" s="37"/>
    </row>
    <row r="141">
      <c r="B141" s="37"/>
    </row>
    <row r="142">
      <c r="B142" s="37"/>
    </row>
    <row r="143">
      <c r="B143" s="37"/>
    </row>
    <row r="144">
      <c r="B144" s="37"/>
    </row>
    <row r="145">
      <c r="B145" s="37"/>
    </row>
    <row r="146">
      <c r="B146" s="37"/>
    </row>
    <row r="147">
      <c r="B147" s="37"/>
    </row>
    <row r="148">
      <c r="B148" s="37"/>
    </row>
    <row r="149">
      <c r="B149" s="37"/>
    </row>
    <row r="150">
      <c r="B150" s="37"/>
    </row>
    <row r="151">
      <c r="B151" s="37"/>
    </row>
    <row r="152">
      <c r="B152" s="37"/>
    </row>
    <row r="153">
      <c r="B153" s="37"/>
    </row>
    <row r="154">
      <c r="B154" s="37"/>
    </row>
    <row r="155">
      <c r="B155" s="37"/>
    </row>
    <row r="156">
      <c r="B156" s="37"/>
    </row>
    <row r="157">
      <c r="B157" s="37"/>
    </row>
    <row r="158">
      <c r="B158" s="37"/>
    </row>
    <row r="159">
      <c r="B159" s="37"/>
    </row>
    <row r="160">
      <c r="B160" s="37"/>
    </row>
    <row r="161">
      <c r="B161" s="37"/>
    </row>
    <row r="162">
      <c r="B162" s="37"/>
    </row>
    <row r="163">
      <c r="B163" s="37"/>
    </row>
    <row r="164">
      <c r="B164" s="37"/>
    </row>
    <row r="165">
      <c r="B165" s="37"/>
    </row>
    <row r="166">
      <c r="B166" s="37"/>
    </row>
    <row r="167">
      <c r="B167" s="37"/>
    </row>
    <row r="168">
      <c r="B168" s="37"/>
    </row>
    <row r="169">
      <c r="B169" s="37"/>
    </row>
    <row r="170">
      <c r="B170" s="37"/>
    </row>
    <row r="171">
      <c r="B171" s="37"/>
    </row>
    <row r="172">
      <c r="B172" s="37"/>
    </row>
    <row r="173">
      <c r="B173" s="37"/>
    </row>
    <row r="174">
      <c r="B174" s="37"/>
    </row>
    <row r="175">
      <c r="B175" s="37"/>
    </row>
    <row r="176">
      <c r="B176" s="37"/>
    </row>
    <row r="177">
      <c r="B177" s="37"/>
    </row>
    <row r="178">
      <c r="B178" s="37"/>
    </row>
    <row r="179">
      <c r="B179" s="37"/>
    </row>
    <row r="180">
      <c r="B180" s="37"/>
    </row>
    <row r="181">
      <c r="B181" s="37"/>
    </row>
    <row r="182">
      <c r="B182" s="37"/>
    </row>
    <row r="183">
      <c r="B183" s="37"/>
    </row>
    <row r="184">
      <c r="B184" s="37"/>
    </row>
    <row r="185">
      <c r="B185" s="37"/>
    </row>
    <row r="186">
      <c r="B186" s="37"/>
    </row>
    <row r="187">
      <c r="B187" s="37"/>
    </row>
    <row r="188">
      <c r="B188" s="37"/>
    </row>
    <row r="189">
      <c r="B189" s="37"/>
    </row>
    <row r="190">
      <c r="B190" s="37"/>
    </row>
    <row r="191">
      <c r="B191" s="37"/>
    </row>
    <row r="192">
      <c r="B192" s="37"/>
    </row>
    <row r="193">
      <c r="B193" s="37"/>
    </row>
    <row r="194">
      <c r="B194" s="37"/>
    </row>
    <row r="195">
      <c r="B195" s="37"/>
    </row>
    <row r="196">
      <c r="B196" s="37"/>
    </row>
    <row r="197">
      <c r="B197" s="37"/>
    </row>
    <row r="198">
      <c r="B198" s="37"/>
    </row>
    <row r="199">
      <c r="B199" s="37"/>
    </row>
    <row r="200">
      <c r="B200" s="37"/>
    </row>
    <row r="201">
      <c r="B201" s="37"/>
    </row>
    <row r="202">
      <c r="B202" s="37"/>
    </row>
    <row r="203">
      <c r="B203" s="37"/>
    </row>
    <row r="204">
      <c r="B204" s="37"/>
    </row>
    <row r="205">
      <c r="B205" s="37"/>
    </row>
    <row r="206">
      <c r="B206" s="37"/>
    </row>
    <row r="207">
      <c r="B207" s="37"/>
    </row>
    <row r="208">
      <c r="B208" s="37"/>
    </row>
    <row r="209">
      <c r="B209" s="37"/>
    </row>
    <row r="210">
      <c r="B210" s="37"/>
    </row>
    <row r="211">
      <c r="B211" s="37"/>
    </row>
    <row r="212">
      <c r="B212" s="37"/>
    </row>
    <row r="213">
      <c r="B213" s="37"/>
    </row>
    <row r="214">
      <c r="B214" s="37"/>
    </row>
    <row r="215">
      <c r="B215" s="37"/>
    </row>
    <row r="216">
      <c r="B216" s="37"/>
    </row>
    <row r="217">
      <c r="B217" s="37"/>
    </row>
    <row r="218">
      <c r="B218" s="37"/>
    </row>
    <row r="219">
      <c r="B219" s="37"/>
    </row>
    <row r="220">
      <c r="B220" s="37"/>
    </row>
    <row r="221">
      <c r="B221" s="37"/>
    </row>
    <row r="222">
      <c r="B222" s="37"/>
    </row>
    <row r="223">
      <c r="B223" s="37"/>
    </row>
    <row r="224">
      <c r="B224" s="37"/>
    </row>
    <row r="225">
      <c r="B225" s="37"/>
    </row>
    <row r="226">
      <c r="B226" s="37"/>
    </row>
    <row r="227">
      <c r="B227" s="37"/>
    </row>
    <row r="228">
      <c r="B228" s="37"/>
    </row>
    <row r="229">
      <c r="B229" s="37"/>
    </row>
    <row r="230">
      <c r="B230" s="37"/>
    </row>
    <row r="231">
      <c r="B231" s="37"/>
    </row>
    <row r="232">
      <c r="B232" s="37"/>
    </row>
    <row r="233">
      <c r="B233" s="37"/>
    </row>
    <row r="234">
      <c r="B234" s="37"/>
    </row>
    <row r="235">
      <c r="B235" s="37"/>
    </row>
    <row r="236">
      <c r="B236" s="37"/>
    </row>
    <row r="237">
      <c r="B237" s="37"/>
    </row>
    <row r="238">
      <c r="B238" s="37"/>
    </row>
    <row r="239">
      <c r="B239" s="37"/>
    </row>
    <row r="240">
      <c r="B240" s="37"/>
    </row>
    <row r="241">
      <c r="B241" s="37"/>
    </row>
    <row r="242">
      <c r="B242" s="37"/>
    </row>
    <row r="243">
      <c r="B243" s="37"/>
    </row>
    <row r="244">
      <c r="B244" s="37"/>
    </row>
    <row r="245">
      <c r="B245" s="37"/>
    </row>
    <row r="246">
      <c r="B246" s="37"/>
    </row>
    <row r="247">
      <c r="B247" s="37"/>
    </row>
    <row r="248">
      <c r="B248" s="37"/>
    </row>
    <row r="249">
      <c r="B249" s="37"/>
    </row>
    <row r="250">
      <c r="B250" s="37"/>
    </row>
    <row r="251">
      <c r="B251" s="37"/>
    </row>
    <row r="252">
      <c r="B252" s="37"/>
    </row>
    <row r="253">
      <c r="B253" s="37"/>
    </row>
    <row r="254">
      <c r="B254" s="37"/>
    </row>
    <row r="255">
      <c r="B255" s="37"/>
    </row>
    <row r="256">
      <c r="B256" s="37"/>
    </row>
    <row r="257">
      <c r="B257" s="37"/>
    </row>
    <row r="258">
      <c r="B258" s="37"/>
    </row>
    <row r="259">
      <c r="B259" s="37"/>
    </row>
    <row r="260">
      <c r="B260" s="37"/>
    </row>
    <row r="261">
      <c r="B261" s="37"/>
    </row>
    <row r="262">
      <c r="B262" s="37"/>
    </row>
    <row r="263">
      <c r="B263" s="37"/>
    </row>
    <row r="264">
      <c r="B264" s="37"/>
    </row>
    <row r="265">
      <c r="B265" s="37"/>
    </row>
    <row r="266">
      <c r="B266" s="37"/>
    </row>
    <row r="267">
      <c r="B267" s="37"/>
    </row>
    <row r="268">
      <c r="B268" s="37"/>
    </row>
    <row r="269">
      <c r="B269" s="37"/>
    </row>
    <row r="270">
      <c r="B270" s="37"/>
    </row>
    <row r="271">
      <c r="B271" s="37"/>
    </row>
    <row r="272">
      <c r="B272" s="37"/>
    </row>
    <row r="273">
      <c r="B273" s="37"/>
    </row>
    <row r="274">
      <c r="B274" s="37"/>
    </row>
    <row r="275">
      <c r="B275" s="37"/>
    </row>
    <row r="276">
      <c r="B276" s="37"/>
    </row>
    <row r="277">
      <c r="B277" s="37"/>
    </row>
    <row r="278">
      <c r="B278" s="37"/>
    </row>
    <row r="279">
      <c r="B279" s="37"/>
    </row>
    <row r="280">
      <c r="B280" s="37"/>
    </row>
    <row r="281">
      <c r="B281" s="37"/>
    </row>
    <row r="282">
      <c r="B282" s="37"/>
    </row>
    <row r="283">
      <c r="B283" s="37"/>
    </row>
    <row r="284">
      <c r="B284" s="37"/>
    </row>
    <row r="285">
      <c r="B285" s="37"/>
    </row>
    <row r="286">
      <c r="B286" s="37"/>
    </row>
    <row r="287">
      <c r="B287" s="37"/>
    </row>
    <row r="288">
      <c r="B288" s="37"/>
    </row>
    <row r="289">
      <c r="B289" s="37"/>
    </row>
    <row r="290">
      <c r="B290" s="37"/>
    </row>
    <row r="291">
      <c r="B291" s="37"/>
    </row>
    <row r="292">
      <c r="B292" s="37"/>
    </row>
    <row r="293">
      <c r="B293" s="37"/>
    </row>
    <row r="294">
      <c r="B294" s="37"/>
    </row>
    <row r="295">
      <c r="B295" s="37"/>
    </row>
    <row r="296">
      <c r="B296" s="37"/>
    </row>
    <row r="297">
      <c r="B297" s="37"/>
    </row>
    <row r="298">
      <c r="B298" s="37"/>
    </row>
    <row r="299">
      <c r="B299" s="37"/>
    </row>
    <row r="300">
      <c r="B300" s="37"/>
    </row>
    <row r="301">
      <c r="B301" s="37"/>
    </row>
    <row r="302">
      <c r="B302" s="37"/>
    </row>
    <row r="303">
      <c r="B303" s="37"/>
    </row>
    <row r="304">
      <c r="B304" s="37"/>
    </row>
    <row r="305">
      <c r="B305" s="37"/>
    </row>
    <row r="306">
      <c r="B306" s="37"/>
    </row>
    <row r="307">
      <c r="B307" s="37"/>
    </row>
    <row r="308">
      <c r="B308" s="37"/>
    </row>
    <row r="309">
      <c r="B309" s="37"/>
    </row>
    <row r="310">
      <c r="B310" s="37"/>
    </row>
    <row r="311">
      <c r="B311" s="37"/>
    </row>
    <row r="312">
      <c r="B312" s="37"/>
    </row>
    <row r="313">
      <c r="B313" s="37"/>
    </row>
    <row r="314">
      <c r="B314" s="37"/>
    </row>
    <row r="315">
      <c r="B315" s="37"/>
    </row>
    <row r="316">
      <c r="B316" s="37"/>
    </row>
    <row r="317">
      <c r="B317" s="37"/>
    </row>
    <row r="318">
      <c r="B318" s="37"/>
    </row>
    <row r="319">
      <c r="B319" s="37"/>
    </row>
    <row r="320">
      <c r="B320" s="37"/>
    </row>
    <row r="321">
      <c r="B321" s="37"/>
    </row>
    <row r="322">
      <c r="B322" s="37"/>
    </row>
    <row r="323">
      <c r="B323" s="37"/>
    </row>
    <row r="324">
      <c r="B324" s="37"/>
    </row>
    <row r="325">
      <c r="B325" s="37"/>
    </row>
    <row r="326">
      <c r="B326" s="37"/>
    </row>
    <row r="327">
      <c r="B327" s="37"/>
    </row>
    <row r="328">
      <c r="B328" s="37"/>
    </row>
    <row r="329">
      <c r="B329" s="37"/>
    </row>
    <row r="330">
      <c r="B330" s="37"/>
    </row>
    <row r="331">
      <c r="B331" s="37"/>
    </row>
    <row r="332">
      <c r="B332" s="37"/>
    </row>
    <row r="333">
      <c r="B333" s="37"/>
    </row>
    <row r="334">
      <c r="B334" s="37"/>
    </row>
    <row r="335">
      <c r="B335" s="37"/>
    </row>
    <row r="336">
      <c r="B336" s="37"/>
    </row>
    <row r="337">
      <c r="B337" s="37"/>
    </row>
    <row r="338">
      <c r="B338" s="37"/>
    </row>
    <row r="339">
      <c r="B339" s="37"/>
    </row>
    <row r="340">
      <c r="B340" s="37"/>
    </row>
    <row r="341">
      <c r="B341" s="37"/>
    </row>
    <row r="342">
      <c r="B342" s="37"/>
    </row>
    <row r="343">
      <c r="B343" s="37"/>
    </row>
    <row r="344">
      <c r="B344" s="37"/>
    </row>
    <row r="345">
      <c r="B345" s="37"/>
    </row>
    <row r="346">
      <c r="B346" s="37"/>
    </row>
    <row r="347">
      <c r="B347" s="37"/>
    </row>
    <row r="348">
      <c r="B348" s="37"/>
    </row>
    <row r="349">
      <c r="B349" s="37"/>
    </row>
    <row r="350">
      <c r="B350" s="37"/>
    </row>
    <row r="351">
      <c r="B351" s="37"/>
    </row>
    <row r="352">
      <c r="B352" s="37"/>
    </row>
    <row r="353">
      <c r="B353" s="37"/>
    </row>
    <row r="354">
      <c r="B354" s="37"/>
    </row>
    <row r="355">
      <c r="B355" s="37"/>
    </row>
    <row r="356">
      <c r="B356" s="37"/>
    </row>
    <row r="357">
      <c r="B357" s="37"/>
    </row>
    <row r="358">
      <c r="B358" s="37"/>
    </row>
    <row r="359">
      <c r="B359" s="37"/>
    </row>
    <row r="360">
      <c r="B360" s="37"/>
    </row>
    <row r="361">
      <c r="B361" s="37"/>
    </row>
    <row r="362">
      <c r="B362" s="37"/>
    </row>
    <row r="363">
      <c r="B363" s="37"/>
    </row>
    <row r="364">
      <c r="B364" s="37"/>
    </row>
    <row r="365">
      <c r="B365" s="37"/>
    </row>
    <row r="366">
      <c r="B366" s="37"/>
    </row>
    <row r="367">
      <c r="B367" s="37"/>
    </row>
    <row r="368">
      <c r="B368" s="37"/>
    </row>
    <row r="369">
      <c r="B369" s="37"/>
    </row>
    <row r="370">
      <c r="B370" s="37"/>
    </row>
    <row r="371">
      <c r="B371" s="37"/>
    </row>
    <row r="372">
      <c r="B372" s="37"/>
    </row>
    <row r="373">
      <c r="B373" s="37"/>
    </row>
    <row r="374">
      <c r="B374" s="37"/>
    </row>
    <row r="375">
      <c r="B375" s="37"/>
    </row>
    <row r="376">
      <c r="B376" s="37"/>
    </row>
    <row r="377">
      <c r="B377" s="37"/>
    </row>
    <row r="378">
      <c r="B378" s="37"/>
    </row>
    <row r="379">
      <c r="B379" s="37"/>
    </row>
    <row r="380">
      <c r="B380" s="37"/>
    </row>
    <row r="381">
      <c r="B381" s="37"/>
    </row>
    <row r="382">
      <c r="B382" s="37"/>
    </row>
    <row r="383">
      <c r="B383" s="37"/>
    </row>
    <row r="384">
      <c r="B384" s="37"/>
    </row>
    <row r="385">
      <c r="B385" s="37"/>
    </row>
    <row r="386">
      <c r="B386" s="37"/>
    </row>
    <row r="387">
      <c r="B387" s="37"/>
    </row>
    <row r="388">
      <c r="B388" s="37"/>
    </row>
    <row r="389">
      <c r="B389" s="37"/>
    </row>
    <row r="390">
      <c r="B390" s="37"/>
    </row>
    <row r="391">
      <c r="B391" s="37"/>
    </row>
    <row r="392">
      <c r="B392" s="37"/>
    </row>
    <row r="393">
      <c r="B393" s="37"/>
    </row>
    <row r="394">
      <c r="B394" s="37"/>
    </row>
    <row r="395">
      <c r="B395" s="37"/>
    </row>
    <row r="396">
      <c r="B396" s="37"/>
    </row>
    <row r="397">
      <c r="B397" s="37"/>
    </row>
    <row r="398">
      <c r="B398" s="37"/>
    </row>
    <row r="399">
      <c r="B399" s="37"/>
    </row>
    <row r="400">
      <c r="B400" s="37"/>
    </row>
    <row r="401">
      <c r="B401" s="37"/>
    </row>
    <row r="402">
      <c r="B402" s="37"/>
    </row>
    <row r="403">
      <c r="B403" s="37"/>
    </row>
    <row r="404">
      <c r="B404" s="37"/>
    </row>
    <row r="405">
      <c r="B405" s="37"/>
    </row>
    <row r="406">
      <c r="B406" s="37"/>
    </row>
    <row r="407">
      <c r="B407" s="37"/>
    </row>
    <row r="408">
      <c r="B408" s="37"/>
    </row>
    <row r="409">
      <c r="B409" s="37"/>
    </row>
    <row r="410">
      <c r="B410" s="37"/>
    </row>
    <row r="411">
      <c r="B411" s="37"/>
    </row>
    <row r="412">
      <c r="B412" s="37"/>
    </row>
    <row r="413">
      <c r="B413" s="37"/>
    </row>
    <row r="414">
      <c r="B414" s="37"/>
    </row>
    <row r="415">
      <c r="B415" s="37"/>
    </row>
    <row r="416">
      <c r="B416" s="37"/>
    </row>
    <row r="417">
      <c r="B417" s="37"/>
    </row>
    <row r="418">
      <c r="B418" s="37"/>
    </row>
    <row r="419">
      <c r="B419" s="37"/>
    </row>
    <row r="420">
      <c r="B420" s="37"/>
    </row>
    <row r="421">
      <c r="B421" s="37"/>
    </row>
    <row r="422">
      <c r="B422" s="37"/>
    </row>
    <row r="423">
      <c r="B423" s="37"/>
    </row>
    <row r="424">
      <c r="B424" s="37"/>
    </row>
    <row r="425">
      <c r="B425" s="37"/>
    </row>
    <row r="426">
      <c r="B426" s="37"/>
    </row>
    <row r="427">
      <c r="B427" s="37"/>
    </row>
    <row r="428">
      <c r="B428" s="37"/>
    </row>
    <row r="429">
      <c r="B429" s="37"/>
    </row>
    <row r="430">
      <c r="B430" s="37"/>
    </row>
    <row r="431">
      <c r="B431" s="37"/>
    </row>
    <row r="432">
      <c r="B432" s="37"/>
    </row>
    <row r="433">
      <c r="B433" s="37"/>
    </row>
    <row r="434">
      <c r="B434" s="37"/>
    </row>
    <row r="435">
      <c r="B435" s="37"/>
    </row>
    <row r="436">
      <c r="B436" s="37"/>
    </row>
    <row r="437">
      <c r="B437" s="37"/>
    </row>
    <row r="438">
      <c r="B438" s="37"/>
    </row>
    <row r="439">
      <c r="B439" s="37"/>
    </row>
    <row r="440">
      <c r="B440" s="37"/>
    </row>
    <row r="441">
      <c r="B441" s="37"/>
    </row>
    <row r="442">
      <c r="B442" s="37"/>
    </row>
    <row r="443">
      <c r="B443" s="37"/>
    </row>
    <row r="444">
      <c r="B444" s="37"/>
    </row>
    <row r="445">
      <c r="B445" s="37"/>
    </row>
    <row r="446">
      <c r="B446" s="37"/>
    </row>
    <row r="447">
      <c r="B447" s="37"/>
    </row>
    <row r="448">
      <c r="B448" s="37"/>
    </row>
    <row r="449">
      <c r="B449" s="37"/>
    </row>
    <row r="450">
      <c r="B450" s="37"/>
    </row>
    <row r="451">
      <c r="B451" s="37"/>
    </row>
    <row r="452">
      <c r="B452" s="37"/>
    </row>
    <row r="453">
      <c r="B453" s="37"/>
    </row>
    <row r="454">
      <c r="B454" s="37"/>
    </row>
    <row r="455">
      <c r="B455" s="37"/>
    </row>
    <row r="456">
      <c r="B456" s="37"/>
    </row>
    <row r="457">
      <c r="B457" s="37"/>
    </row>
    <row r="458">
      <c r="B458" s="37"/>
    </row>
    <row r="459">
      <c r="B459" s="37"/>
    </row>
    <row r="460">
      <c r="B460" s="37"/>
    </row>
    <row r="461">
      <c r="B461" s="37"/>
    </row>
    <row r="462">
      <c r="B462" s="37"/>
    </row>
    <row r="463">
      <c r="B463" s="37"/>
    </row>
    <row r="464">
      <c r="B464" s="37"/>
    </row>
    <row r="465">
      <c r="B465" s="37"/>
    </row>
    <row r="466">
      <c r="B466" s="37"/>
    </row>
    <row r="467">
      <c r="B467" s="37"/>
    </row>
    <row r="468">
      <c r="B468" s="37"/>
    </row>
    <row r="469">
      <c r="B469" s="37"/>
    </row>
    <row r="470">
      <c r="B470" s="37"/>
    </row>
    <row r="471">
      <c r="B471" s="37"/>
    </row>
    <row r="472">
      <c r="B472" s="37"/>
    </row>
    <row r="473">
      <c r="B473" s="37"/>
    </row>
    <row r="474">
      <c r="B474" s="37"/>
    </row>
    <row r="475">
      <c r="B475" s="37"/>
    </row>
    <row r="476">
      <c r="B476" s="37"/>
    </row>
    <row r="477">
      <c r="B477" s="37"/>
    </row>
    <row r="478">
      <c r="B478" s="37"/>
    </row>
    <row r="479">
      <c r="B479" s="37"/>
    </row>
    <row r="480">
      <c r="B480" s="37"/>
    </row>
    <row r="481">
      <c r="B481" s="37"/>
    </row>
    <row r="482">
      <c r="B482" s="37"/>
    </row>
    <row r="483">
      <c r="B483" s="37"/>
    </row>
    <row r="484">
      <c r="B484" s="37"/>
    </row>
    <row r="485">
      <c r="B485" s="37"/>
    </row>
    <row r="486">
      <c r="B486" s="37"/>
    </row>
    <row r="487">
      <c r="B487" s="37"/>
    </row>
    <row r="488">
      <c r="B488" s="37"/>
    </row>
    <row r="489">
      <c r="B489" s="37"/>
    </row>
    <row r="490">
      <c r="B490" s="37"/>
    </row>
    <row r="491">
      <c r="B491" s="37"/>
    </row>
    <row r="492">
      <c r="B492" s="37"/>
    </row>
    <row r="493">
      <c r="B493" s="37"/>
    </row>
    <row r="494">
      <c r="B494" s="37"/>
    </row>
    <row r="495">
      <c r="B495" s="37"/>
    </row>
    <row r="496">
      <c r="B496" s="37"/>
    </row>
    <row r="497">
      <c r="B497" s="37"/>
    </row>
    <row r="498">
      <c r="B498" s="37"/>
    </row>
    <row r="499">
      <c r="B499" s="37"/>
    </row>
    <row r="500">
      <c r="B500" s="37"/>
    </row>
    <row r="501">
      <c r="B501" s="37"/>
    </row>
    <row r="502">
      <c r="B502" s="37"/>
    </row>
    <row r="503">
      <c r="B503" s="37"/>
    </row>
    <row r="504">
      <c r="B504" s="37"/>
    </row>
    <row r="505">
      <c r="B505" s="37"/>
    </row>
    <row r="506">
      <c r="B506" s="37"/>
    </row>
    <row r="507">
      <c r="B507" s="37"/>
    </row>
    <row r="508">
      <c r="B508" s="37"/>
    </row>
    <row r="509">
      <c r="B509" s="37"/>
    </row>
    <row r="510">
      <c r="B510" s="37"/>
    </row>
    <row r="511">
      <c r="B511" s="37"/>
    </row>
    <row r="512">
      <c r="B512" s="37"/>
    </row>
    <row r="513">
      <c r="B513" s="37"/>
    </row>
    <row r="514">
      <c r="B514" s="37"/>
    </row>
    <row r="515">
      <c r="B515" s="37"/>
    </row>
    <row r="516">
      <c r="B516" s="37"/>
    </row>
    <row r="517">
      <c r="B517" s="37"/>
    </row>
    <row r="518">
      <c r="B518" s="37"/>
    </row>
    <row r="519">
      <c r="B519" s="37"/>
    </row>
    <row r="520">
      <c r="B520" s="37"/>
    </row>
    <row r="521">
      <c r="B521" s="37"/>
    </row>
    <row r="522">
      <c r="B522" s="37"/>
    </row>
    <row r="523">
      <c r="B523" s="37"/>
    </row>
    <row r="524">
      <c r="B524" s="37"/>
    </row>
    <row r="525">
      <c r="B525" s="37"/>
    </row>
    <row r="526">
      <c r="B526" s="37"/>
    </row>
    <row r="527">
      <c r="B527" s="37"/>
    </row>
    <row r="528">
      <c r="B528" s="37"/>
    </row>
    <row r="529">
      <c r="B529" s="37"/>
    </row>
    <row r="530">
      <c r="B530" s="37"/>
    </row>
    <row r="531">
      <c r="B531" s="37"/>
    </row>
    <row r="532">
      <c r="B532" s="37"/>
    </row>
    <row r="533">
      <c r="B533" s="37"/>
    </row>
    <row r="534">
      <c r="B534" s="37"/>
    </row>
    <row r="535">
      <c r="B535" s="37"/>
    </row>
    <row r="536">
      <c r="B536" s="37"/>
    </row>
    <row r="537">
      <c r="B537" s="37"/>
    </row>
    <row r="538">
      <c r="B538" s="37"/>
    </row>
    <row r="539">
      <c r="B539" s="37"/>
    </row>
    <row r="540">
      <c r="B540" s="37"/>
    </row>
    <row r="541">
      <c r="B541" s="37"/>
    </row>
    <row r="542">
      <c r="B542" s="37"/>
    </row>
    <row r="543">
      <c r="B543" s="37"/>
    </row>
    <row r="544">
      <c r="B544" s="37"/>
    </row>
    <row r="545">
      <c r="B545" s="37"/>
    </row>
    <row r="546">
      <c r="B546" s="37"/>
    </row>
    <row r="547">
      <c r="B547" s="37"/>
    </row>
    <row r="548">
      <c r="B548" s="37"/>
    </row>
    <row r="549">
      <c r="B549" s="37"/>
    </row>
    <row r="550">
      <c r="B550" s="37"/>
    </row>
    <row r="551">
      <c r="B551" s="37"/>
    </row>
    <row r="552">
      <c r="B552" s="37"/>
    </row>
    <row r="553">
      <c r="B553" s="37"/>
    </row>
    <row r="554">
      <c r="B554" s="37"/>
    </row>
    <row r="555">
      <c r="B555" s="37"/>
    </row>
    <row r="556">
      <c r="B556" s="37"/>
    </row>
    <row r="557">
      <c r="B557" s="37"/>
    </row>
    <row r="558">
      <c r="B558" s="37"/>
    </row>
    <row r="559">
      <c r="B559" s="37"/>
    </row>
    <row r="560">
      <c r="B560" s="37"/>
    </row>
    <row r="561">
      <c r="B561" s="37"/>
    </row>
    <row r="562">
      <c r="B562" s="37"/>
    </row>
    <row r="563">
      <c r="B563" s="37"/>
    </row>
    <row r="564">
      <c r="B564" s="37"/>
    </row>
    <row r="565">
      <c r="B565" s="37"/>
    </row>
    <row r="566">
      <c r="B566" s="37"/>
    </row>
    <row r="567">
      <c r="B567" s="37"/>
    </row>
    <row r="568">
      <c r="B568" s="37"/>
    </row>
    <row r="569">
      <c r="B569" s="37"/>
    </row>
    <row r="570">
      <c r="B570" s="37"/>
    </row>
    <row r="571">
      <c r="B571" s="37"/>
    </row>
    <row r="572">
      <c r="B572" s="37"/>
    </row>
    <row r="573">
      <c r="B573" s="37"/>
    </row>
    <row r="574">
      <c r="B574" s="37"/>
    </row>
    <row r="575">
      <c r="B575" s="37"/>
    </row>
    <row r="576">
      <c r="B576" s="37"/>
    </row>
    <row r="577">
      <c r="B577" s="37"/>
    </row>
    <row r="578">
      <c r="B578" s="37"/>
    </row>
    <row r="579">
      <c r="B579" s="37"/>
    </row>
    <row r="580">
      <c r="B580" s="37"/>
    </row>
    <row r="581">
      <c r="B581" s="37"/>
    </row>
    <row r="582">
      <c r="B582" s="37"/>
    </row>
    <row r="583">
      <c r="B583" s="37"/>
    </row>
    <row r="584">
      <c r="B584" s="37"/>
    </row>
    <row r="585">
      <c r="B585" s="37"/>
    </row>
    <row r="586">
      <c r="B586" s="37"/>
    </row>
    <row r="587">
      <c r="B587" s="37"/>
    </row>
    <row r="588">
      <c r="B588" s="37"/>
    </row>
    <row r="589">
      <c r="B589" s="37"/>
    </row>
    <row r="590">
      <c r="B590" s="37"/>
    </row>
    <row r="591">
      <c r="B591" s="37"/>
    </row>
    <row r="592">
      <c r="B592" s="37"/>
    </row>
    <row r="593">
      <c r="B593" s="37"/>
    </row>
    <row r="594">
      <c r="B594" s="37"/>
    </row>
    <row r="595">
      <c r="B595" s="37"/>
    </row>
    <row r="596">
      <c r="B596" s="37"/>
    </row>
    <row r="597">
      <c r="B597" s="37"/>
    </row>
    <row r="598">
      <c r="B598" s="37"/>
    </row>
    <row r="599">
      <c r="B599" s="37"/>
    </row>
    <row r="600">
      <c r="B600" s="37"/>
    </row>
    <row r="601">
      <c r="B601" s="37"/>
    </row>
    <row r="602">
      <c r="B602" s="37"/>
    </row>
    <row r="603">
      <c r="B603" s="37"/>
    </row>
    <row r="604">
      <c r="B604" s="37"/>
    </row>
    <row r="605">
      <c r="B605" s="37"/>
    </row>
    <row r="606">
      <c r="B606" s="37"/>
    </row>
    <row r="607">
      <c r="B607" s="37"/>
    </row>
    <row r="608">
      <c r="B608" s="37"/>
    </row>
    <row r="609">
      <c r="B609" s="37"/>
    </row>
    <row r="610">
      <c r="B610" s="37"/>
    </row>
    <row r="611">
      <c r="B611" s="37"/>
    </row>
    <row r="612">
      <c r="B612" s="37"/>
    </row>
    <row r="613">
      <c r="B613" s="37"/>
    </row>
    <row r="614">
      <c r="B614" s="37"/>
    </row>
    <row r="615">
      <c r="B615" s="37"/>
    </row>
    <row r="616">
      <c r="B616" s="37"/>
    </row>
    <row r="617">
      <c r="B617" s="37"/>
    </row>
    <row r="618">
      <c r="B618" s="37"/>
    </row>
    <row r="619">
      <c r="B619" s="37"/>
    </row>
    <row r="620">
      <c r="B620" s="37"/>
    </row>
    <row r="621">
      <c r="B621" s="37"/>
    </row>
    <row r="622">
      <c r="B622" s="37"/>
    </row>
    <row r="623">
      <c r="B623" s="37"/>
    </row>
    <row r="624">
      <c r="B624" s="37"/>
    </row>
    <row r="625">
      <c r="B625" s="37"/>
    </row>
    <row r="626">
      <c r="B626" s="37"/>
    </row>
    <row r="627">
      <c r="B627" s="37"/>
    </row>
    <row r="628">
      <c r="B628" s="37"/>
    </row>
    <row r="629">
      <c r="B629" s="37"/>
    </row>
    <row r="630">
      <c r="B630" s="37"/>
    </row>
    <row r="631">
      <c r="B631" s="37"/>
    </row>
    <row r="632">
      <c r="B632" s="37"/>
    </row>
    <row r="633">
      <c r="B633" s="37"/>
    </row>
    <row r="634">
      <c r="B634" s="37"/>
    </row>
    <row r="635">
      <c r="B635" s="37"/>
    </row>
    <row r="636">
      <c r="B636" s="37"/>
    </row>
    <row r="637">
      <c r="B637" s="37"/>
    </row>
    <row r="638">
      <c r="B638" s="37"/>
    </row>
    <row r="639">
      <c r="B639" s="37"/>
    </row>
    <row r="640">
      <c r="B640" s="37"/>
    </row>
    <row r="641">
      <c r="B641" s="37"/>
    </row>
    <row r="642">
      <c r="B642" s="37"/>
    </row>
    <row r="643">
      <c r="B643" s="37"/>
    </row>
    <row r="644">
      <c r="B644" s="37"/>
    </row>
    <row r="645">
      <c r="B645" s="37"/>
    </row>
    <row r="646">
      <c r="B646" s="37"/>
    </row>
    <row r="647">
      <c r="B647" s="37"/>
    </row>
    <row r="648">
      <c r="B648" s="37"/>
    </row>
    <row r="649">
      <c r="B649" s="37"/>
    </row>
    <row r="650">
      <c r="B650" s="37"/>
    </row>
    <row r="651">
      <c r="B651" s="37"/>
    </row>
    <row r="652">
      <c r="B652" s="37"/>
    </row>
    <row r="653">
      <c r="B653" s="37"/>
    </row>
    <row r="654">
      <c r="B654" s="37"/>
    </row>
    <row r="655">
      <c r="B655" s="37"/>
    </row>
    <row r="656">
      <c r="B656" s="37"/>
    </row>
    <row r="657">
      <c r="B657" s="37"/>
    </row>
    <row r="658">
      <c r="B658" s="37"/>
    </row>
    <row r="659">
      <c r="B659" s="37"/>
    </row>
    <row r="660">
      <c r="B660" s="37"/>
    </row>
    <row r="661">
      <c r="B661" s="37"/>
    </row>
    <row r="662">
      <c r="B662" s="37"/>
    </row>
    <row r="663">
      <c r="B663" s="37"/>
    </row>
    <row r="664">
      <c r="B664" s="37"/>
    </row>
    <row r="665">
      <c r="B665" s="37"/>
    </row>
    <row r="666">
      <c r="B666" s="37"/>
    </row>
    <row r="667">
      <c r="B667" s="37"/>
    </row>
    <row r="668">
      <c r="B668" s="37"/>
    </row>
    <row r="669">
      <c r="B669" s="37"/>
    </row>
    <row r="670">
      <c r="B670" s="37"/>
    </row>
    <row r="671">
      <c r="B671" s="37"/>
    </row>
    <row r="672">
      <c r="B672" s="37"/>
    </row>
    <row r="673">
      <c r="B673" s="37"/>
    </row>
    <row r="674">
      <c r="B674" s="37"/>
    </row>
    <row r="675">
      <c r="B675" s="37"/>
    </row>
    <row r="676">
      <c r="B676" s="37"/>
    </row>
    <row r="677">
      <c r="B677" s="37"/>
    </row>
    <row r="678">
      <c r="B678" s="37"/>
    </row>
    <row r="679">
      <c r="B679" s="37"/>
    </row>
    <row r="680">
      <c r="B680" s="37"/>
    </row>
    <row r="681">
      <c r="B681" s="37"/>
    </row>
    <row r="682">
      <c r="B682" s="37"/>
    </row>
    <row r="683">
      <c r="B683" s="37"/>
    </row>
    <row r="684">
      <c r="B684" s="37"/>
    </row>
    <row r="685">
      <c r="B685" s="37"/>
    </row>
    <row r="686">
      <c r="B686" s="37"/>
    </row>
    <row r="687">
      <c r="B687" s="37"/>
    </row>
    <row r="688">
      <c r="B688" s="37"/>
    </row>
    <row r="689">
      <c r="B689" s="37"/>
    </row>
    <row r="690">
      <c r="B690" s="37"/>
    </row>
    <row r="691">
      <c r="B691" s="37"/>
    </row>
    <row r="692">
      <c r="B692" s="37"/>
    </row>
    <row r="693">
      <c r="B693" s="37"/>
    </row>
    <row r="694">
      <c r="B694" s="37"/>
    </row>
    <row r="695">
      <c r="B695" s="37"/>
    </row>
    <row r="696">
      <c r="B696" s="37"/>
    </row>
    <row r="697">
      <c r="B697" s="37"/>
    </row>
    <row r="698">
      <c r="B698" s="37"/>
    </row>
    <row r="699">
      <c r="B699" s="37"/>
    </row>
    <row r="700">
      <c r="B700" s="37"/>
    </row>
    <row r="701">
      <c r="B701" s="37"/>
    </row>
    <row r="702">
      <c r="B702" s="37"/>
    </row>
    <row r="703">
      <c r="B703" s="37"/>
    </row>
    <row r="704">
      <c r="B704" s="37"/>
    </row>
    <row r="705">
      <c r="B705" s="37"/>
    </row>
    <row r="706">
      <c r="B706" s="37"/>
    </row>
    <row r="707">
      <c r="B707" s="37"/>
    </row>
    <row r="708">
      <c r="B708" s="37"/>
    </row>
    <row r="709">
      <c r="B709" s="37"/>
    </row>
    <row r="710">
      <c r="B710" s="37"/>
    </row>
    <row r="711">
      <c r="B711" s="37"/>
    </row>
    <row r="712">
      <c r="B712" s="37"/>
    </row>
    <row r="713">
      <c r="B713" s="37"/>
    </row>
    <row r="714">
      <c r="B714" s="37"/>
    </row>
    <row r="715">
      <c r="B715" s="37"/>
    </row>
    <row r="716">
      <c r="B716" s="37"/>
    </row>
    <row r="717">
      <c r="B717" s="37"/>
    </row>
    <row r="718">
      <c r="B718" s="37"/>
    </row>
    <row r="719">
      <c r="B719" s="37"/>
    </row>
    <row r="720">
      <c r="B720" s="37"/>
    </row>
    <row r="721">
      <c r="B721" s="37"/>
    </row>
    <row r="722">
      <c r="B722" s="37"/>
    </row>
    <row r="723">
      <c r="B723" s="37"/>
    </row>
    <row r="724">
      <c r="B724" s="37"/>
    </row>
    <row r="725">
      <c r="B725" s="37"/>
    </row>
    <row r="726">
      <c r="B726" s="37"/>
    </row>
    <row r="727">
      <c r="B727" s="37"/>
    </row>
    <row r="728">
      <c r="B728" s="37"/>
    </row>
    <row r="729">
      <c r="B729" s="37"/>
    </row>
    <row r="730">
      <c r="B730" s="37"/>
    </row>
    <row r="731">
      <c r="B731" s="37"/>
    </row>
    <row r="732">
      <c r="B732" s="37"/>
    </row>
    <row r="733">
      <c r="B733" s="37"/>
    </row>
    <row r="734">
      <c r="B734" s="37"/>
    </row>
    <row r="735">
      <c r="B735" s="37"/>
    </row>
    <row r="736">
      <c r="B736" s="37"/>
    </row>
    <row r="737">
      <c r="B737" s="37"/>
    </row>
    <row r="738">
      <c r="B738" s="37"/>
    </row>
    <row r="739">
      <c r="B739" s="37"/>
    </row>
    <row r="740">
      <c r="B740" s="37"/>
    </row>
    <row r="741">
      <c r="B741" s="37"/>
    </row>
    <row r="742">
      <c r="B742" s="37"/>
    </row>
    <row r="743">
      <c r="B743" s="37"/>
    </row>
    <row r="744">
      <c r="B744" s="37"/>
    </row>
    <row r="745">
      <c r="B745" s="37"/>
    </row>
    <row r="746">
      <c r="B746" s="37"/>
    </row>
    <row r="747">
      <c r="B747" s="37"/>
    </row>
    <row r="748">
      <c r="B748" s="37"/>
    </row>
    <row r="749">
      <c r="B749" s="37"/>
    </row>
    <row r="750">
      <c r="B750" s="37"/>
    </row>
    <row r="751">
      <c r="B751" s="37"/>
    </row>
    <row r="752">
      <c r="B752" s="37"/>
    </row>
    <row r="753">
      <c r="B753" s="37"/>
    </row>
    <row r="754">
      <c r="B754" s="37"/>
    </row>
    <row r="755">
      <c r="B755" s="37"/>
    </row>
    <row r="756">
      <c r="B756" s="37"/>
    </row>
    <row r="757">
      <c r="B757" s="37"/>
    </row>
    <row r="758">
      <c r="B758" s="37"/>
    </row>
    <row r="759">
      <c r="B759" s="37"/>
    </row>
    <row r="760">
      <c r="B760" s="37"/>
    </row>
    <row r="761">
      <c r="B761" s="37"/>
    </row>
    <row r="762">
      <c r="B762" s="37"/>
    </row>
    <row r="763">
      <c r="B763" s="37"/>
    </row>
    <row r="764">
      <c r="B764" s="37"/>
    </row>
    <row r="765">
      <c r="B765" s="37"/>
    </row>
    <row r="766">
      <c r="B766" s="37"/>
    </row>
    <row r="767">
      <c r="B767" s="37"/>
    </row>
    <row r="768">
      <c r="B768" s="37"/>
    </row>
    <row r="769">
      <c r="B769" s="37"/>
    </row>
    <row r="770">
      <c r="B770" s="37"/>
    </row>
    <row r="771">
      <c r="B771" s="37"/>
    </row>
    <row r="772">
      <c r="B772" s="37"/>
    </row>
    <row r="773">
      <c r="B773" s="37"/>
    </row>
    <row r="774">
      <c r="B774" s="37"/>
    </row>
    <row r="775">
      <c r="B775" s="37"/>
    </row>
    <row r="776">
      <c r="B776" s="37"/>
    </row>
    <row r="777">
      <c r="B777" s="37"/>
    </row>
    <row r="778">
      <c r="B778" s="37"/>
    </row>
    <row r="779">
      <c r="B779" s="37"/>
    </row>
    <row r="780">
      <c r="B780" s="37"/>
    </row>
    <row r="781">
      <c r="B781" s="37"/>
    </row>
    <row r="782">
      <c r="B782" s="37"/>
    </row>
    <row r="783">
      <c r="B783" s="37"/>
    </row>
    <row r="784">
      <c r="B784" s="37"/>
    </row>
    <row r="785">
      <c r="B785" s="37"/>
    </row>
    <row r="786">
      <c r="B786" s="37"/>
    </row>
    <row r="787">
      <c r="B787" s="37"/>
    </row>
    <row r="788">
      <c r="B788" s="37"/>
    </row>
    <row r="789">
      <c r="B789" s="37"/>
    </row>
    <row r="790">
      <c r="B790" s="37"/>
    </row>
    <row r="791">
      <c r="B791" s="37"/>
    </row>
    <row r="792">
      <c r="B792" s="37"/>
    </row>
    <row r="793">
      <c r="B793" s="37"/>
    </row>
    <row r="794">
      <c r="B794" s="37"/>
    </row>
    <row r="795">
      <c r="B795" s="37"/>
    </row>
    <row r="796">
      <c r="B796" s="37"/>
    </row>
    <row r="797">
      <c r="B797" s="37"/>
    </row>
    <row r="798">
      <c r="B798" s="37"/>
    </row>
    <row r="799">
      <c r="B799" s="37"/>
    </row>
    <row r="800">
      <c r="B800" s="37"/>
    </row>
    <row r="801">
      <c r="B801" s="37"/>
    </row>
    <row r="802">
      <c r="B802" s="37"/>
    </row>
    <row r="803">
      <c r="B803" s="37"/>
    </row>
    <row r="804">
      <c r="B804" s="37"/>
    </row>
    <row r="805">
      <c r="B805" s="37"/>
    </row>
    <row r="806">
      <c r="B806" s="37"/>
    </row>
    <row r="807">
      <c r="B807" s="37"/>
    </row>
    <row r="808">
      <c r="B808" s="37"/>
    </row>
    <row r="809">
      <c r="B809" s="37"/>
    </row>
    <row r="810">
      <c r="B810" s="37"/>
    </row>
    <row r="811">
      <c r="B811" s="37"/>
    </row>
    <row r="812">
      <c r="B812" s="37"/>
    </row>
    <row r="813">
      <c r="B813" s="37"/>
    </row>
    <row r="814">
      <c r="B814" s="37"/>
    </row>
    <row r="815">
      <c r="B815" s="37"/>
    </row>
    <row r="816">
      <c r="B816" s="37"/>
    </row>
    <row r="817">
      <c r="B817" s="37"/>
    </row>
    <row r="818">
      <c r="B818" s="37"/>
    </row>
    <row r="819">
      <c r="B819" s="37"/>
    </row>
    <row r="820">
      <c r="B820" s="37"/>
    </row>
    <row r="821">
      <c r="B821" s="37"/>
    </row>
    <row r="822">
      <c r="B822" s="37"/>
    </row>
    <row r="823">
      <c r="B823" s="37"/>
    </row>
    <row r="824">
      <c r="B824" s="37"/>
    </row>
    <row r="825">
      <c r="B825" s="37"/>
    </row>
    <row r="826">
      <c r="B826" s="37"/>
    </row>
    <row r="827">
      <c r="B827" s="37"/>
    </row>
    <row r="828">
      <c r="B828" s="37"/>
    </row>
    <row r="829">
      <c r="B829" s="37"/>
    </row>
    <row r="830">
      <c r="B830" s="37"/>
    </row>
    <row r="831">
      <c r="B831" s="37"/>
    </row>
    <row r="832">
      <c r="B832" s="37"/>
    </row>
    <row r="833">
      <c r="B833" s="37"/>
    </row>
    <row r="834">
      <c r="B834" s="37"/>
    </row>
    <row r="835">
      <c r="B835" s="37"/>
    </row>
    <row r="836">
      <c r="B836" s="37"/>
    </row>
    <row r="837">
      <c r="B837" s="37"/>
    </row>
    <row r="838">
      <c r="B838" s="37"/>
    </row>
    <row r="839">
      <c r="B839" s="37"/>
    </row>
    <row r="840">
      <c r="B840" s="37"/>
    </row>
    <row r="841">
      <c r="B841" s="37"/>
    </row>
    <row r="842">
      <c r="B842" s="37"/>
    </row>
    <row r="843">
      <c r="B843" s="37"/>
    </row>
    <row r="844">
      <c r="B844" s="37"/>
    </row>
    <row r="845">
      <c r="B845" s="37"/>
    </row>
    <row r="846">
      <c r="B846" s="37"/>
    </row>
    <row r="847">
      <c r="B847" s="37"/>
    </row>
    <row r="848">
      <c r="B848" s="37"/>
    </row>
    <row r="849">
      <c r="B849" s="37"/>
    </row>
    <row r="850">
      <c r="B850" s="37"/>
    </row>
    <row r="851">
      <c r="B851" s="37"/>
    </row>
    <row r="852">
      <c r="B852" s="37"/>
    </row>
    <row r="853">
      <c r="B853" s="37"/>
    </row>
    <row r="854">
      <c r="B854" s="37"/>
    </row>
    <row r="855">
      <c r="B855" s="37"/>
    </row>
    <row r="856">
      <c r="B856" s="37"/>
    </row>
    <row r="857">
      <c r="B857" s="37"/>
    </row>
    <row r="858">
      <c r="B858" s="37"/>
    </row>
    <row r="859">
      <c r="B859" s="37"/>
    </row>
    <row r="860">
      <c r="B860" s="37"/>
    </row>
    <row r="861">
      <c r="B861" s="37"/>
    </row>
    <row r="862">
      <c r="B862" s="37"/>
    </row>
    <row r="863">
      <c r="B863" s="37"/>
    </row>
    <row r="864">
      <c r="B864" s="37"/>
    </row>
    <row r="865">
      <c r="B865" s="37"/>
    </row>
    <row r="866">
      <c r="B866" s="37"/>
    </row>
    <row r="867">
      <c r="B867" s="37"/>
    </row>
    <row r="868">
      <c r="B868" s="37"/>
    </row>
    <row r="869">
      <c r="B869" s="37"/>
    </row>
    <row r="870">
      <c r="B870" s="37"/>
    </row>
    <row r="871">
      <c r="B871" s="37"/>
    </row>
    <row r="872">
      <c r="B872" s="37"/>
    </row>
    <row r="873">
      <c r="B873" s="37"/>
    </row>
    <row r="874">
      <c r="B874" s="37"/>
    </row>
    <row r="875">
      <c r="B875" s="37"/>
    </row>
    <row r="876">
      <c r="B876" s="37"/>
    </row>
    <row r="877">
      <c r="B877" s="37"/>
    </row>
    <row r="878">
      <c r="B878" s="37"/>
    </row>
    <row r="879">
      <c r="B879" s="37"/>
    </row>
    <row r="880">
      <c r="B880" s="37"/>
    </row>
    <row r="881">
      <c r="B881" s="37"/>
    </row>
    <row r="882">
      <c r="B882" s="37"/>
    </row>
    <row r="883">
      <c r="B883" s="37"/>
    </row>
    <row r="884">
      <c r="B884" s="37"/>
    </row>
    <row r="885">
      <c r="B885" s="37"/>
    </row>
    <row r="886">
      <c r="B886" s="37"/>
    </row>
    <row r="887">
      <c r="B887" s="37"/>
    </row>
    <row r="888">
      <c r="B888" s="37"/>
    </row>
    <row r="889">
      <c r="B889" s="37"/>
    </row>
    <row r="890">
      <c r="B890" s="37"/>
    </row>
    <row r="891">
      <c r="B891" s="37"/>
    </row>
    <row r="892">
      <c r="B892" s="37"/>
    </row>
    <row r="893">
      <c r="B893" s="37"/>
    </row>
    <row r="894">
      <c r="B894" s="37"/>
    </row>
    <row r="895">
      <c r="B895" s="37"/>
    </row>
    <row r="896">
      <c r="B896" s="37"/>
    </row>
    <row r="897">
      <c r="B897" s="37"/>
    </row>
    <row r="898">
      <c r="B898" s="37"/>
    </row>
    <row r="899">
      <c r="B899" s="37"/>
    </row>
    <row r="900">
      <c r="B900" s="37"/>
    </row>
    <row r="901">
      <c r="B901" s="37"/>
    </row>
    <row r="902">
      <c r="B902" s="37"/>
    </row>
    <row r="903">
      <c r="B903" s="37"/>
    </row>
    <row r="904">
      <c r="B904" s="37"/>
    </row>
    <row r="905">
      <c r="B905" s="37"/>
    </row>
    <row r="906">
      <c r="B906" s="37"/>
    </row>
    <row r="907">
      <c r="B907" s="37"/>
    </row>
    <row r="908">
      <c r="B908" s="37"/>
    </row>
    <row r="909">
      <c r="B909" s="37"/>
    </row>
    <row r="910">
      <c r="B910" s="37"/>
    </row>
    <row r="911">
      <c r="B911" s="37"/>
    </row>
    <row r="912">
      <c r="B912" s="37"/>
    </row>
    <row r="913">
      <c r="B913" s="37"/>
    </row>
    <row r="914">
      <c r="B914" s="37"/>
    </row>
    <row r="915">
      <c r="B915" s="37"/>
    </row>
    <row r="916">
      <c r="B916" s="37"/>
    </row>
    <row r="917">
      <c r="B917" s="37"/>
    </row>
    <row r="918">
      <c r="B918" s="37"/>
    </row>
    <row r="919">
      <c r="B919" s="37"/>
    </row>
    <row r="920">
      <c r="B920" s="37"/>
    </row>
    <row r="921">
      <c r="B921" s="37"/>
    </row>
    <row r="922">
      <c r="B922" s="37"/>
    </row>
    <row r="923">
      <c r="B923" s="37"/>
    </row>
    <row r="924">
      <c r="B924" s="37"/>
    </row>
    <row r="925">
      <c r="B925" s="37"/>
    </row>
    <row r="926">
      <c r="B926" s="37"/>
    </row>
    <row r="927">
      <c r="B927" s="37"/>
    </row>
    <row r="928">
      <c r="B928" s="37"/>
    </row>
    <row r="929">
      <c r="B929" s="37"/>
    </row>
    <row r="930">
      <c r="B930" s="37"/>
    </row>
    <row r="931">
      <c r="B931" s="37"/>
    </row>
    <row r="932">
      <c r="B932" s="37"/>
    </row>
    <row r="933">
      <c r="B933" s="37"/>
    </row>
    <row r="934">
      <c r="B934" s="37"/>
    </row>
    <row r="935">
      <c r="B935" s="37"/>
    </row>
    <row r="936">
      <c r="B936" s="37"/>
    </row>
    <row r="937">
      <c r="B937" s="37"/>
    </row>
    <row r="938">
      <c r="B938" s="37"/>
    </row>
    <row r="939">
      <c r="B939" s="37"/>
    </row>
    <row r="940">
      <c r="B940" s="37"/>
    </row>
    <row r="941">
      <c r="B941" s="37"/>
    </row>
    <row r="942">
      <c r="B942" s="37"/>
    </row>
    <row r="943">
      <c r="B943" s="37"/>
    </row>
    <row r="944">
      <c r="B944" s="37"/>
    </row>
    <row r="945">
      <c r="B945" s="37"/>
    </row>
    <row r="946">
      <c r="B946" s="37"/>
    </row>
    <row r="947">
      <c r="B947" s="37"/>
    </row>
    <row r="948">
      <c r="B948" s="37"/>
    </row>
    <row r="949">
      <c r="B949" s="37"/>
    </row>
    <row r="950">
      <c r="B950" s="37"/>
    </row>
    <row r="951">
      <c r="B951" s="37"/>
    </row>
    <row r="952">
      <c r="B952" s="37"/>
    </row>
    <row r="953">
      <c r="B953" s="37"/>
    </row>
    <row r="954">
      <c r="B954" s="37"/>
    </row>
    <row r="955">
      <c r="B955" s="37"/>
    </row>
    <row r="956">
      <c r="B956" s="37"/>
    </row>
    <row r="957">
      <c r="B957" s="37"/>
    </row>
    <row r="958">
      <c r="B958" s="37"/>
    </row>
    <row r="959">
      <c r="B959" s="37"/>
    </row>
    <row r="960">
      <c r="B960" s="37"/>
    </row>
    <row r="961">
      <c r="B961" s="37"/>
    </row>
    <row r="962">
      <c r="B962" s="37"/>
    </row>
    <row r="963">
      <c r="B963" s="37"/>
    </row>
    <row r="964">
      <c r="B964" s="37"/>
    </row>
    <row r="965">
      <c r="B965" s="37"/>
    </row>
    <row r="966">
      <c r="B966" s="37"/>
    </row>
    <row r="967">
      <c r="B967" s="37"/>
    </row>
    <row r="968">
      <c r="B968" s="37"/>
    </row>
    <row r="969">
      <c r="B969" s="37"/>
    </row>
    <row r="970">
      <c r="B970" s="37"/>
    </row>
    <row r="971">
      <c r="B971" s="37"/>
    </row>
    <row r="972">
      <c r="B972" s="37"/>
    </row>
    <row r="973">
      <c r="B973" s="37"/>
    </row>
    <row r="974">
      <c r="B974" s="37"/>
    </row>
    <row r="975">
      <c r="B975" s="37"/>
    </row>
    <row r="976">
      <c r="B976" s="37"/>
    </row>
    <row r="977">
      <c r="B977" s="37"/>
    </row>
    <row r="978">
      <c r="B978" s="37"/>
    </row>
    <row r="979">
      <c r="B979" s="37"/>
    </row>
    <row r="980">
      <c r="B980" s="37"/>
    </row>
    <row r="981">
      <c r="B981" s="37"/>
    </row>
    <row r="982">
      <c r="B982" s="37"/>
    </row>
    <row r="983">
      <c r="B983" s="37"/>
    </row>
    <row r="984">
      <c r="B984" s="37"/>
    </row>
    <row r="985">
      <c r="B985" s="37"/>
    </row>
    <row r="986">
      <c r="B986" s="37"/>
    </row>
    <row r="987">
      <c r="B987" s="37"/>
    </row>
    <row r="988">
      <c r="B988" s="37"/>
    </row>
    <row r="989">
      <c r="B989" s="37"/>
    </row>
    <row r="990">
      <c r="B990" s="37"/>
    </row>
    <row r="991">
      <c r="B991" s="37"/>
    </row>
    <row r="992">
      <c r="B992" s="37"/>
    </row>
    <row r="993">
      <c r="B993" s="37"/>
    </row>
    <row r="994">
      <c r="B994" s="37"/>
    </row>
    <row r="995">
      <c r="B995" s="37"/>
    </row>
  </sheetData>
  <mergeCells count="17">
    <mergeCell ref="B1:D1"/>
    <mergeCell ref="F1:H1"/>
    <mergeCell ref="J1:L1"/>
    <mergeCell ref="B9:D9"/>
    <mergeCell ref="B10:D10"/>
    <mergeCell ref="F10:H10"/>
    <mergeCell ref="J12:L12"/>
    <mergeCell ref="F50:H50"/>
    <mergeCell ref="B51:D51"/>
    <mergeCell ref="F51:H51"/>
    <mergeCell ref="B19:D19"/>
    <mergeCell ref="F19:H19"/>
    <mergeCell ref="J21:L21"/>
    <mergeCell ref="B29:D29"/>
    <mergeCell ref="F29:H29"/>
    <mergeCell ref="B41:D41"/>
    <mergeCell ref="F41:H4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24.13"/>
    <col customWidth="1" min="9" max="9" width="20.13"/>
    <col customWidth="1" min="13" max="13" width="29.63"/>
  </cols>
  <sheetData>
    <row r="1">
      <c r="C1" s="1" t="s">
        <v>0</v>
      </c>
      <c r="D1" s="2"/>
      <c r="E1" s="2"/>
      <c r="F1" s="3"/>
      <c r="H1" s="4" t="s">
        <v>1</v>
      </c>
      <c r="I1" s="2"/>
      <c r="J1" s="2"/>
      <c r="K1" s="3"/>
      <c r="M1" s="5"/>
    </row>
    <row r="2">
      <c r="C2" s="6" t="s">
        <v>2</v>
      </c>
      <c r="D2" s="6" t="s">
        <v>2</v>
      </c>
      <c r="E2" s="7" t="s">
        <v>3</v>
      </c>
      <c r="F2" s="8"/>
      <c r="H2" s="6" t="s">
        <v>2</v>
      </c>
      <c r="I2" s="9" t="s">
        <v>2</v>
      </c>
      <c r="J2" s="11" t="s">
        <v>3</v>
      </c>
      <c r="K2" s="12"/>
      <c r="M2" s="10" t="s">
        <v>4</v>
      </c>
      <c r="N2" s="13"/>
      <c r="O2" s="14"/>
    </row>
    <row r="3">
      <c r="C3" s="15"/>
      <c r="D3" s="15" t="s">
        <v>5</v>
      </c>
      <c r="E3" s="7">
        <v>429.97</v>
      </c>
      <c r="F3" s="16" t="b">
        <v>1</v>
      </c>
      <c r="H3" s="15"/>
      <c r="I3" s="17"/>
      <c r="J3" s="18"/>
      <c r="K3" s="19"/>
      <c r="M3" s="20">
        <f>SUM(E8,J8,J17,E17,E27,J27,E39,J35,N4,N18,N9,E47,J47,E57,J58)</f>
        <v>5364.69</v>
      </c>
      <c r="N3" s="13"/>
      <c r="O3" s="14"/>
    </row>
    <row r="4">
      <c r="C4" s="15"/>
      <c r="D4" s="15" t="s">
        <v>6</v>
      </c>
      <c r="E4" s="7">
        <v>133.75</v>
      </c>
      <c r="F4" s="21" t="b">
        <v>1</v>
      </c>
      <c r="H4" s="15"/>
      <c r="I4" s="22" t="s">
        <v>5</v>
      </c>
      <c r="J4" s="23"/>
      <c r="K4" s="16" t="b">
        <v>0</v>
      </c>
      <c r="M4" s="24"/>
      <c r="N4" s="25"/>
      <c r="O4" s="26"/>
    </row>
    <row r="5">
      <c r="C5" s="15"/>
      <c r="D5" s="15" t="s">
        <v>7</v>
      </c>
      <c r="E5" s="7">
        <v>101.0</v>
      </c>
      <c r="F5" s="21" t="b">
        <v>1</v>
      </c>
      <c r="H5" s="15"/>
      <c r="I5" s="22" t="s">
        <v>6</v>
      </c>
      <c r="J5" s="23"/>
      <c r="K5" s="16" t="b">
        <v>0</v>
      </c>
      <c r="M5" s="24"/>
      <c r="N5" s="25"/>
      <c r="O5" s="26"/>
    </row>
    <row r="6">
      <c r="A6" s="27"/>
      <c r="B6" s="27"/>
      <c r="C6" s="15"/>
      <c r="D6" s="15" t="s">
        <v>9</v>
      </c>
      <c r="E6" s="23">
        <v>379.0</v>
      </c>
      <c r="F6" s="21" t="b">
        <v>1</v>
      </c>
      <c r="H6" s="15"/>
      <c r="I6" s="15" t="s">
        <v>10</v>
      </c>
      <c r="J6" s="23">
        <v>30.0</v>
      </c>
      <c r="K6" s="16" t="b">
        <v>1</v>
      </c>
      <c r="M6" s="28"/>
      <c r="N6" s="25"/>
      <c r="O6" s="26"/>
    </row>
    <row r="7">
      <c r="C7" s="15"/>
      <c r="D7" s="15"/>
      <c r="E7" s="23"/>
      <c r="F7" s="29" t="b">
        <v>0</v>
      </c>
      <c r="H7" s="15"/>
      <c r="I7" s="15" t="s">
        <v>11</v>
      </c>
      <c r="J7" s="23"/>
      <c r="K7" s="16" t="b">
        <v>0</v>
      </c>
      <c r="M7" s="28"/>
      <c r="N7" s="25"/>
      <c r="O7" s="26"/>
    </row>
    <row r="8">
      <c r="C8" s="30" t="s">
        <v>13</v>
      </c>
      <c r="D8" s="30"/>
      <c r="E8" s="31">
        <f>SUM(E3:E7)</f>
        <v>1043.72</v>
      </c>
      <c r="F8" s="32" t="b">
        <v>1</v>
      </c>
      <c r="H8" s="30" t="s">
        <v>13</v>
      </c>
      <c r="I8" s="30"/>
      <c r="J8" s="33">
        <f>SUM(J4:J7)</f>
        <v>30</v>
      </c>
      <c r="K8" s="34" t="b">
        <v>1</v>
      </c>
      <c r="M8" s="35"/>
      <c r="N8" s="36"/>
      <c r="O8" s="26"/>
    </row>
    <row r="9">
      <c r="D9" s="37"/>
      <c r="M9" s="35"/>
      <c r="N9" s="36"/>
      <c r="O9" s="36"/>
    </row>
    <row r="10">
      <c r="D10" s="1" t="s">
        <v>18</v>
      </c>
      <c r="E10" s="2"/>
      <c r="F10" s="3"/>
      <c r="I10" s="4" t="s">
        <v>19</v>
      </c>
      <c r="J10" s="2"/>
      <c r="K10" s="3"/>
    </row>
    <row r="11">
      <c r="D11" s="38" t="s">
        <v>2</v>
      </c>
      <c r="E11" s="39" t="s">
        <v>3</v>
      </c>
      <c r="F11" s="40"/>
      <c r="I11" s="9" t="s">
        <v>2</v>
      </c>
      <c r="J11" s="11" t="s">
        <v>3</v>
      </c>
      <c r="K11" s="12"/>
    </row>
    <row r="12">
      <c r="D12" s="41" t="s">
        <v>20</v>
      </c>
      <c r="E12" s="42">
        <f>49.34+51.09</f>
        <v>100.43</v>
      </c>
      <c r="F12" s="43" t="b">
        <v>1</v>
      </c>
      <c r="I12" s="22" t="s">
        <v>5</v>
      </c>
      <c r="J12" s="23">
        <v>489.23</v>
      </c>
      <c r="K12" s="16" t="b">
        <v>1</v>
      </c>
      <c r="M12" s="44"/>
    </row>
    <row r="13">
      <c r="D13" s="45" t="s">
        <v>6</v>
      </c>
      <c r="E13" s="42">
        <f>20+25+28</f>
        <v>73</v>
      </c>
      <c r="F13" s="43" t="b">
        <v>1</v>
      </c>
      <c r="I13" s="15" t="s">
        <v>21</v>
      </c>
      <c r="J13" s="23">
        <v>103.11</v>
      </c>
      <c r="K13" s="46" t="b">
        <v>1</v>
      </c>
      <c r="M13" s="47"/>
      <c r="N13" s="48"/>
      <c r="O13" s="49"/>
    </row>
    <row r="14">
      <c r="D14" s="45" t="s">
        <v>23</v>
      </c>
      <c r="E14" s="50">
        <v>88.88</v>
      </c>
      <c r="F14" s="43" t="b">
        <v>1</v>
      </c>
      <c r="I14" s="15"/>
      <c r="J14" s="23"/>
      <c r="K14" s="46" t="b">
        <v>0</v>
      </c>
      <c r="M14" s="51"/>
      <c r="N14" s="25"/>
      <c r="O14" s="52"/>
    </row>
    <row r="15">
      <c r="D15" s="45" t="s">
        <v>24</v>
      </c>
      <c r="E15" s="50">
        <v>221.44</v>
      </c>
      <c r="F15" s="43" t="b">
        <v>1</v>
      </c>
      <c r="I15" s="15"/>
      <c r="J15" s="23"/>
      <c r="K15" s="46" t="b">
        <v>0</v>
      </c>
      <c r="M15" s="51"/>
      <c r="N15" s="25"/>
      <c r="O15" s="52"/>
    </row>
    <row r="16">
      <c r="D16" s="45" t="s">
        <v>26</v>
      </c>
      <c r="E16" s="42">
        <v>284.99</v>
      </c>
      <c r="F16" s="43" t="b">
        <v>1</v>
      </c>
      <c r="I16" s="15"/>
      <c r="J16" s="23"/>
      <c r="K16" s="46" t="b">
        <v>0</v>
      </c>
      <c r="M16" s="28"/>
      <c r="N16" s="25"/>
      <c r="O16" s="52"/>
    </row>
    <row r="17">
      <c r="D17" s="53" t="s">
        <v>13</v>
      </c>
      <c r="E17" s="54">
        <f>SUM(E12:E16)</f>
        <v>768.74</v>
      </c>
      <c r="F17" s="55" t="b">
        <v>0</v>
      </c>
      <c r="I17" s="30" t="s">
        <v>13</v>
      </c>
      <c r="J17" s="33">
        <f>SUM(J12:J16)</f>
        <v>592.34</v>
      </c>
      <c r="K17" s="34" t="b">
        <v>1</v>
      </c>
      <c r="M17" s="51"/>
      <c r="N17" s="25"/>
      <c r="O17" s="56"/>
    </row>
    <row r="18">
      <c r="D18" s="37"/>
      <c r="M18" s="57"/>
      <c r="N18" s="58"/>
      <c r="O18" s="56"/>
    </row>
    <row r="19">
      <c r="D19" s="1" t="s">
        <v>31</v>
      </c>
      <c r="E19" s="2"/>
      <c r="F19" s="3"/>
      <c r="I19" s="4" t="s">
        <v>32</v>
      </c>
      <c r="J19" s="2"/>
      <c r="K19" s="3"/>
    </row>
    <row r="20">
      <c r="D20" s="6" t="s">
        <v>2</v>
      </c>
      <c r="E20" s="11" t="s">
        <v>3</v>
      </c>
      <c r="F20" s="8"/>
      <c r="I20" s="9" t="s">
        <v>2</v>
      </c>
      <c r="J20" s="11" t="s">
        <v>3</v>
      </c>
      <c r="K20" s="12"/>
    </row>
    <row r="21">
      <c r="D21" s="15" t="s">
        <v>33</v>
      </c>
      <c r="E21" s="23">
        <v>50.0</v>
      </c>
      <c r="F21" s="16" t="b">
        <v>1</v>
      </c>
      <c r="I21" s="22" t="s">
        <v>5</v>
      </c>
      <c r="J21" s="23">
        <f>15.95+18.95+16.95+14.95+15.93+10.96+8.94+21.98+16.96+14.95</f>
        <v>156.52</v>
      </c>
      <c r="K21" s="16" t="b">
        <v>1</v>
      </c>
      <c r="M21" s="5"/>
    </row>
    <row r="22">
      <c r="D22" s="15" t="s">
        <v>34</v>
      </c>
      <c r="E22" s="23"/>
      <c r="F22" s="16" t="b">
        <v>0</v>
      </c>
      <c r="I22" s="22" t="s">
        <v>6</v>
      </c>
      <c r="J22" s="23"/>
      <c r="K22" s="16" t="b">
        <v>0</v>
      </c>
      <c r="M22" s="13"/>
      <c r="N22" s="13"/>
      <c r="O22" s="14"/>
    </row>
    <row r="23">
      <c r="D23" s="15" t="s">
        <v>35</v>
      </c>
      <c r="E23" s="23">
        <v>442.16</v>
      </c>
      <c r="F23" s="16" t="b">
        <v>1</v>
      </c>
      <c r="I23" s="15" t="s">
        <v>37</v>
      </c>
      <c r="J23" s="23">
        <v>60.0</v>
      </c>
      <c r="K23" s="16" t="b">
        <v>1</v>
      </c>
      <c r="M23" s="24"/>
      <c r="N23" s="25"/>
      <c r="O23" s="26"/>
    </row>
    <row r="24">
      <c r="D24" s="15" t="s">
        <v>38</v>
      </c>
      <c r="E24" s="23">
        <v>45.8</v>
      </c>
      <c r="F24" s="16" t="b">
        <v>1</v>
      </c>
      <c r="I24" s="15" t="s">
        <v>39</v>
      </c>
      <c r="J24" s="23">
        <v>90.0</v>
      </c>
      <c r="K24" s="16" t="b">
        <v>1</v>
      </c>
      <c r="M24" s="35"/>
      <c r="N24" s="36"/>
      <c r="O24" s="36"/>
    </row>
    <row r="25">
      <c r="D25" s="15" t="s">
        <v>41</v>
      </c>
      <c r="E25" s="23">
        <v>99.7</v>
      </c>
      <c r="F25" s="16" t="b">
        <v>1</v>
      </c>
      <c r="I25" s="15"/>
      <c r="J25" s="23"/>
      <c r="K25" s="16" t="b">
        <v>0</v>
      </c>
    </row>
    <row r="26">
      <c r="D26" s="15" t="s">
        <v>43</v>
      </c>
      <c r="E26" s="23"/>
      <c r="F26" s="16" t="b">
        <v>0</v>
      </c>
      <c r="I26" s="15"/>
      <c r="J26" s="23"/>
      <c r="K26" s="16" t="b">
        <v>0</v>
      </c>
    </row>
    <row r="27">
      <c r="D27" s="30" t="s">
        <v>13</v>
      </c>
      <c r="E27" s="31">
        <f>SUM(E21:E26)</f>
        <v>637.66</v>
      </c>
      <c r="F27" s="34" t="b">
        <v>0</v>
      </c>
      <c r="I27" s="30" t="s">
        <v>13</v>
      </c>
      <c r="J27" s="33">
        <f>SUM(J21:J26)</f>
        <v>306.52</v>
      </c>
      <c r="K27" s="34" t="b">
        <v>1</v>
      </c>
    </row>
    <row r="28">
      <c r="D28" s="37"/>
    </row>
    <row r="29">
      <c r="D29" s="1" t="s">
        <v>40</v>
      </c>
      <c r="E29" s="2"/>
      <c r="F29" s="3"/>
      <c r="I29" s="4" t="s">
        <v>45</v>
      </c>
      <c r="J29" s="2"/>
      <c r="K29" s="3"/>
    </row>
    <row r="30">
      <c r="D30" s="6" t="s">
        <v>2</v>
      </c>
      <c r="E30" s="11" t="s">
        <v>3</v>
      </c>
      <c r="F30" s="8"/>
      <c r="I30" s="9" t="s">
        <v>2</v>
      </c>
      <c r="J30" s="11" t="s">
        <v>3</v>
      </c>
      <c r="K30" s="12"/>
    </row>
    <row r="31">
      <c r="D31" s="15"/>
      <c r="E31" s="7"/>
      <c r="F31" s="16" t="b">
        <v>0</v>
      </c>
      <c r="I31" s="22" t="s">
        <v>5</v>
      </c>
      <c r="J31" s="23"/>
      <c r="K31" s="16" t="b">
        <v>0</v>
      </c>
    </row>
    <row r="32">
      <c r="D32" s="59" t="s">
        <v>20</v>
      </c>
      <c r="E32" s="7"/>
      <c r="F32" s="16" t="b">
        <v>0</v>
      </c>
      <c r="I32" s="17" t="s">
        <v>52</v>
      </c>
      <c r="J32" s="23"/>
      <c r="K32" s="16" t="b">
        <v>0</v>
      </c>
    </row>
    <row r="33">
      <c r="D33" s="15" t="s">
        <v>44</v>
      </c>
      <c r="E33" s="23">
        <v>4.5</v>
      </c>
      <c r="F33" s="16" t="b">
        <v>1</v>
      </c>
      <c r="I33" s="6" t="s">
        <v>53</v>
      </c>
      <c r="J33" s="23"/>
      <c r="K33" s="16" t="b">
        <v>0</v>
      </c>
    </row>
    <row r="34">
      <c r="D34" s="6"/>
      <c r="E34" s="23"/>
      <c r="F34" s="16" t="b">
        <v>0</v>
      </c>
      <c r="I34" s="6" t="s">
        <v>54</v>
      </c>
      <c r="J34" s="23"/>
      <c r="K34" s="16" t="b">
        <v>0</v>
      </c>
    </row>
    <row r="35">
      <c r="D35" s="6" t="s">
        <v>55</v>
      </c>
      <c r="E35" s="7">
        <v>324.95</v>
      </c>
      <c r="F35" s="16" t="b">
        <v>1</v>
      </c>
      <c r="I35" s="30" t="s">
        <v>13</v>
      </c>
      <c r="J35" s="33">
        <f>SUM(J31:J34)</f>
        <v>0</v>
      </c>
      <c r="K35" s="34" t="b">
        <v>0</v>
      </c>
    </row>
    <row r="36">
      <c r="D36" s="6" t="s">
        <v>56</v>
      </c>
      <c r="E36" s="7">
        <v>144.5</v>
      </c>
      <c r="F36" s="16" t="b">
        <v>1</v>
      </c>
    </row>
    <row r="37">
      <c r="D37" s="6" t="s">
        <v>57</v>
      </c>
      <c r="E37" s="23">
        <f>145.83*2</f>
        <v>291.66</v>
      </c>
      <c r="F37" s="16" t="b">
        <v>1</v>
      </c>
    </row>
    <row r="38">
      <c r="D38" s="59"/>
      <c r="E38" s="7"/>
      <c r="F38" s="8"/>
    </row>
    <row r="39">
      <c r="D39" s="30" t="s">
        <v>13</v>
      </c>
      <c r="E39" s="31">
        <f>SUM(E31:E38)</f>
        <v>765.61</v>
      </c>
      <c r="F39" s="34" t="b">
        <v>1</v>
      </c>
      <c r="I39" s="60"/>
      <c r="J39" s="63"/>
    </row>
    <row r="40">
      <c r="D40" s="37"/>
      <c r="I40" s="60"/>
      <c r="J40" s="63"/>
    </row>
    <row r="41">
      <c r="D41" s="4" t="s">
        <v>60</v>
      </c>
      <c r="E41" s="2"/>
      <c r="F41" s="3"/>
      <c r="I41" s="4" t="s">
        <v>61</v>
      </c>
      <c r="J41" s="2"/>
      <c r="K41" s="3"/>
    </row>
    <row r="42">
      <c r="D42" s="9" t="s">
        <v>2</v>
      </c>
      <c r="E42" s="11" t="s">
        <v>3</v>
      </c>
      <c r="F42" s="12"/>
      <c r="I42" s="9" t="s">
        <v>2</v>
      </c>
      <c r="J42" s="11" t="s">
        <v>3</v>
      </c>
      <c r="K42" s="12"/>
    </row>
    <row r="43">
      <c r="D43" s="22" t="s">
        <v>5</v>
      </c>
      <c r="E43" s="23">
        <v>32.89</v>
      </c>
      <c r="F43" s="16" t="b">
        <v>1</v>
      </c>
      <c r="I43" s="22" t="s">
        <v>5</v>
      </c>
      <c r="J43" s="23">
        <f>21.94+36.96+27.95+21.7+26.96+23.13+26+23.8</f>
        <v>208.44</v>
      </c>
      <c r="K43" s="16" t="b">
        <v>1</v>
      </c>
    </row>
    <row r="44">
      <c r="D44" s="17" t="s">
        <v>64</v>
      </c>
      <c r="E44" s="23">
        <v>110.0</v>
      </c>
      <c r="F44" s="16" t="b">
        <v>1</v>
      </c>
      <c r="I44" s="17" t="s">
        <v>65</v>
      </c>
      <c r="J44" s="23">
        <v>0.0</v>
      </c>
      <c r="K44" s="16" t="b">
        <v>0</v>
      </c>
      <c r="O44" s="25"/>
    </row>
    <row r="45">
      <c r="D45" s="6" t="s">
        <v>67</v>
      </c>
      <c r="E45" s="23"/>
      <c r="F45" s="16" t="b">
        <v>0</v>
      </c>
      <c r="I45" s="6" t="s">
        <v>68</v>
      </c>
      <c r="J45" s="23">
        <v>0.0</v>
      </c>
      <c r="K45" s="16" t="b">
        <v>0</v>
      </c>
      <c r="O45" s="25"/>
    </row>
    <row r="46">
      <c r="D46" s="6" t="s">
        <v>69</v>
      </c>
      <c r="E46" s="23"/>
      <c r="F46" s="16" t="b">
        <v>0</v>
      </c>
      <c r="I46" s="6"/>
      <c r="J46" s="23"/>
      <c r="K46" s="16" t="b">
        <v>0</v>
      </c>
      <c r="O46" s="25"/>
    </row>
    <row r="47">
      <c r="D47" s="64" t="s">
        <v>13</v>
      </c>
      <c r="E47" s="33">
        <f>SUM(E43:E46)</f>
        <v>142.89</v>
      </c>
      <c r="F47" s="34" t="b">
        <v>0</v>
      </c>
      <c r="I47" s="64" t="s">
        <v>13</v>
      </c>
      <c r="J47" s="33">
        <f>SUM(J43:J46)</f>
        <v>208.44</v>
      </c>
      <c r="K47" s="34" t="b">
        <v>1</v>
      </c>
      <c r="O47" s="25"/>
    </row>
    <row r="48">
      <c r="D48" s="37"/>
      <c r="O48" s="36"/>
    </row>
    <row r="49">
      <c r="D49" s="37"/>
    </row>
    <row r="50">
      <c r="D50" s="37"/>
      <c r="G50" s="49"/>
      <c r="H50" s="49"/>
      <c r="I50" s="49"/>
    </row>
    <row r="51">
      <c r="D51" s="4" t="s">
        <v>72</v>
      </c>
      <c r="E51" s="2"/>
      <c r="F51" s="3"/>
      <c r="G51" s="49"/>
      <c r="H51" s="49"/>
      <c r="I51" s="65" t="s">
        <v>73</v>
      </c>
      <c r="J51" s="2"/>
      <c r="K51" s="3"/>
    </row>
    <row r="52">
      <c r="D52" s="9" t="s">
        <v>2</v>
      </c>
      <c r="E52" s="11" t="s">
        <v>3</v>
      </c>
      <c r="F52" s="12"/>
      <c r="G52" s="49"/>
      <c r="H52" s="49"/>
      <c r="I52" s="67" t="s">
        <v>2</v>
      </c>
      <c r="J52" s="68" t="s">
        <v>3</v>
      </c>
      <c r="K52" s="69"/>
    </row>
    <row r="53">
      <c r="D53" s="22" t="s">
        <v>74</v>
      </c>
      <c r="E53" s="23">
        <v>300.0</v>
      </c>
      <c r="F53" s="16" t="b">
        <v>0</v>
      </c>
      <c r="G53" s="49"/>
      <c r="H53" s="49"/>
      <c r="I53" s="70" t="s">
        <v>75</v>
      </c>
      <c r="J53" s="71">
        <v>558.8</v>
      </c>
      <c r="K53" s="72" t="b">
        <v>1</v>
      </c>
    </row>
    <row r="54">
      <c r="D54" s="17" t="s">
        <v>76</v>
      </c>
      <c r="E54" s="23">
        <v>9.97</v>
      </c>
      <c r="F54" s="16" t="b">
        <v>0</v>
      </c>
      <c r="G54" s="49"/>
      <c r="H54" s="49"/>
      <c r="I54" s="73"/>
      <c r="J54" s="74"/>
      <c r="K54" s="75" t="b">
        <v>0</v>
      </c>
    </row>
    <row r="55">
      <c r="D55" s="6" t="s">
        <v>77</v>
      </c>
      <c r="E55" s="23"/>
      <c r="F55" s="16" t="b">
        <v>0</v>
      </c>
      <c r="G55" s="49"/>
      <c r="H55" s="49"/>
      <c r="I55" s="73"/>
      <c r="J55" s="76"/>
      <c r="K55" s="75" t="b">
        <v>0</v>
      </c>
    </row>
    <row r="56">
      <c r="D56" s="6"/>
      <c r="E56" s="23"/>
      <c r="F56" s="16" t="b">
        <v>0</v>
      </c>
      <c r="G56" s="49"/>
      <c r="H56" s="49"/>
      <c r="I56" s="73"/>
      <c r="J56" s="76"/>
      <c r="K56" s="75" t="b">
        <v>0</v>
      </c>
    </row>
    <row r="57">
      <c r="D57" s="64" t="s">
        <v>13</v>
      </c>
      <c r="E57" s="33">
        <f>SUM(E53:E56)</f>
        <v>309.97</v>
      </c>
      <c r="F57" s="34" t="b">
        <v>0</v>
      </c>
      <c r="G57" s="49"/>
      <c r="H57" s="49"/>
      <c r="I57" s="77"/>
      <c r="J57" s="78"/>
      <c r="K57" s="75" t="b">
        <v>0</v>
      </c>
    </row>
    <row r="58">
      <c r="D58" s="37"/>
      <c r="G58" s="49"/>
      <c r="H58" s="49"/>
      <c r="I58" s="79" t="s">
        <v>13</v>
      </c>
      <c r="J58" s="80">
        <f>SUM(J53:J57)</f>
        <v>558.8</v>
      </c>
      <c r="K58" s="81" t="b">
        <v>1</v>
      </c>
    </row>
    <row r="59">
      <c r="D59" s="37"/>
    </row>
    <row r="60">
      <c r="D60" s="37"/>
    </row>
    <row r="61">
      <c r="D61" s="37"/>
    </row>
    <row r="62">
      <c r="D62" s="37"/>
    </row>
    <row r="63">
      <c r="D63" s="37"/>
    </row>
    <row r="64">
      <c r="D64" s="37"/>
    </row>
    <row r="65">
      <c r="D65" s="37"/>
    </row>
    <row r="66">
      <c r="D66" s="37"/>
    </row>
    <row r="67">
      <c r="D67" s="37"/>
    </row>
    <row r="68">
      <c r="D68" s="37"/>
    </row>
    <row r="69">
      <c r="D69" s="37"/>
    </row>
    <row r="70">
      <c r="D70" s="37"/>
    </row>
    <row r="71">
      <c r="D71" s="37"/>
    </row>
    <row r="72">
      <c r="D72" s="37"/>
    </row>
    <row r="73">
      <c r="D73" s="37"/>
    </row>
    <row r="74">
      <c r="D74" s="37"/>
    </row>
    <row r="75">
      <c r="D75" s="37"/>
    </row>
    <row r="76">
      <c r="D76" s="37"/>
    </row>
    <row r="77">
      <c r="D77" s="37"/>
    </row>
    <row r="78">
      <c r="D78" s="37"/>
    </row>
    <row r="79">
      <c r="D79" s="37"/>
    </row>
    <row r="80">
      <c r="D80" s="37"/>
    </row>
    <row r="81">
      <c r="D81" s="37"/>
    </row>
    <row r="82">
      <c r="D82" s="37"/>
    </row>
    <row r="83">
      <c r="D83" s="37"/>
    </row>
    <row r="84">
      <c r="D84" s="37"/>
    </row>
    <row r="85">
      <c r="D85" s="37"/>
    </row>
    <row r="86">
      <c r="D86" s="37"/>
    </row>
    <row r="87">
      <c r="D87" s="37"/>
    </row>
    <row r="88">
      <c r="D88" s="37"/>
    </row>
    <row r="89">
      <c r="D89" s="37"/>
    </row>
    <row r="90">
      <c r="D90" s="37"/>
    </row>
    <row r="91">
      <c r="D91" s="37"/>
    </row>
    <row r="92">
      <c r="D92" s="37"/>
    </row>
    <row r="93">
      <c r="D93" s="37"/>
    </row>
    <row r="94">
      <c r="D94" s="37"/>
    </row>
    <row r="95">
      <c r="D95" s="37"/>
    </row>
    <row r="96">
      <c r="D96" s="37"/>
    </row>
    <row r="97">
      <c r="D97" s="37"/>
    </row>
    <row r="98">
      <c r="D98" s="37"/>
    </row>
    <row r="99">
      <c r="D99" s="37"/>
    </row>
    <row r="100">
      <c r="D100" s="37"/>
    </row>
    <row r="101">
      <c r="D101" s="37"/>
    </row>
    <row r="102">
      <c r="D102" s="37"/>
    </row>
    <row r="103">
      <c r="D103" s="37"/>
    </row>
    <row r="104">
      <c r="D104" s="37"/>
    </row>
    <row r="105">
      <c r="D105" s="37"/>
    </row>
    <row r="106">
      <c r="D106" s="37"/>
    </row>
    <row r="107">
      <c r="D107" s="37"/>
    </row>
    <row r="108">
      <c r="D108" s="37"/>
    </row>
    <row r="109">
      <c r="D109" s="37"/>
    </row>
    <row r="110">
      <c r="D110" s="37"/>
    </row>
    <row r="111">
      <c r="D111" s="37"/>
    </row>
    <row r="112">
      <c r="D112" s="37"/>
    </row>
    <row r="113">
      <c r="D113" s="37"/>
    </row>
    <row r="114">
      <c r="D114" s="37"/>
    </row>
    <row r="115">
      <c r="D115" s="37"/>
    </row>
    <row r="116">
      <c r="D116" s="37"/>
    </row>
    <row r="117">
      <c r="D117" s="37"/>
    </row>
    <row r="118">
      <c r="D118" s="37"/>
    </row>
    <row r="119">
      <c r="D119" s="37"/>
    </row>
    <row r="120">
      <c r="D120" s="37"/>
    </row>
    <row r="121">
      <c r="D121" s="37"/>
    </row>
    <row r="122">
      <c r="D122" s="37"/>
    </row>
    <row r="123">
      <c r="D123" s="37"/>
    </row>
    <row r="124">
      <c r="D124" s="37"/>
    </row>
    <row r="125">
      <c r="D125" s="37"/>
    </row>
    <row r="126">
      <c r="D126" s="37"/>
    </row>
    <row r="127">
      <c r="D127" s="37"/>
    </row>
    <row r="128">
      <c r="D128" s="37"/>
    </row>
    <row r="129">
      <c r="D129" s="37"/>
    </row>
    <row r="130">
      <c r="D130" s="37"/>
    </row>
    <row r="131">
      <c r="D131" s="37"/>
    </row>
    <row r="132">
      <c r="D132" s="37"/>
    </row>
    <row r="133">
      <c r="D133" s="37"/>
    </row>
    <row r="134">
      <c r="D134" s="37"/>
    </row>
    <row r="135">
      <c r="D135" s="37"/>
    </row>
    <row r="136">
      <c r="D136" s="37"/>
    </row>
    <row r="137">
      <c r="D137" s="37"/>
    </row>
    <row r="138">
      <c r="D138" s="37"/>
    </row>
    <row r="139">
      <c r="D139" s="37"/>
    </row>
    <row r="140">
      <c r="D140" s="37"/>
    </row>
    <row r="141">
      <c r="D141" s="37"/>
    </row>
    <row r="142">
      <c r="D142" s="37"/>
    </row>
    <row r="143">
      <c r="D143" s="37"/>
    </row>
    <row r="144">
      <c r="D144" s="37"/>
    </row>
    <row r="145">
      <c r="D145" s="37"/>
    </row>
    <row r="146">
      <c r="D146" s="37"/>
    </row>
    <row r="147">
      <c r="D147" s="37"/>
    </row>
    <row r="148">
      <c r="D148" s="37"/>
    </row>
    <row r="149">
      <c r="D149" s="37"/>
    </row>
    <row r="150">
      <c r="D150" s="37"/>
    </row>
    <row r="151">
      <c r="D151" s="37"/>
    </row>
    <row r="152">
      <c r="D152" s="37"/>
    </row>
    <row r="153">
      <c r="D153" s="37"/>
    </row>
    <row r="154">
      <c r="D154" s="37"/>
    </row>
    <row r="155">
      <c r="D155" s="37"/>
    </row>
    <row r="156">
      <c r="D156" s="37"/>
    </row>
    <row r="157">
      <c r="D157" s="37"/>
    </row>
    <row r="158">
      <c r="D158" s="37"/>
    </row>
    <row r="159">
      <c r="D159" s="37"/>
    </row>
    <row r="160">
      <c r="D160" s="37"/>
    </row>
    <row r="161">
      <c r="D161" s="37"/>
    </row>
    <row r="162">
      <c r="D162" s="37"/>
    </row>
    <row r="163">
      <c r="D163" s="37"/>
    </row>
    <row r="164">
      <c r="D164" s="37"/>
    </row>
    <row r="165">
      <c r="D165" s="37"/>
    </row>
    <row r="166">
      <c r="D166" s="37"/>
    </row>
    <row r="167">
      <c r="D167" s="37"/>
    </row>
    <row r="168">
      <c r="D168" s="37"/>
    </row>
    <row r="169">
      <c r="D169" s="37"/>
    </row>
    <row r="170">
      <c r="D170" s="37"/>
    </row>
    <row r="171">
      <c r="D171" s="37"/>
    </row>
    <row r="172">
      <c r="D172" s="37"/>
    </row>
    <row r="173">
      <c r="D173" s="37"/>
    </row>
    <row r="174">
      <c r="D174" s="37"/>
    </row>
    <row r="175">
      <c r="D175" s="37"/>
    </row>
    <row r="176">
      <c r="D176" s="37"/>
    </row>
    <row r="177">
      <c r="D177" s="37"/>
    </row>
    <row r="178">
      <c r="D178" s="37"/>
    </row>
    <row r="179">
      <c r="D179" s="37"/>
    </row>
    <row r="180">
      <c r="D180" s="37"/>
    </row>
    <row r="181">
      <c r="D181" s="37"/>
    </row>
    <row r="182">
      <c r="D182" s="37"/>
    </row>
    <row r="183">
      <c r="D183" s="37"/>
    </row>
    <row r="184">
      <c r="D184" s="37"/>
    </row>
    <row r="185">
      <c r="D185" s="37"/>
    </row>
    <row r="186">
      <c r="D186" s="37"/>
    </row>
    <row r="187">
      <c r="D187" s="37"/>
    </row>
    <row r="188">
      <c r="D188" s="37"/>
    </row>
    <row r="189">
      <c r="D189" s="37"/>
    </row>
    <row r="190">
      <c r="D190" s="37"/>
    </row>
    <row r="191">
      <c r="D191" s="37"/>
    </row>
    <row r="192">
      <c r="D192" s="37"/>
    </row>
    <row r="193">
      <c r="D193" s="37"/>
    </row>
    <row r="194">
      <c r="D194" s="37"/>
    </row>
    <row r="195">
      <c r="D195" s="37"/>
    </row>
    <row r="196">
      <c r="D196" s="37"/>
    </row>
    <row r="197">
      <c r="D197" s="37"/>
    </row>
    <row r="198">
      <c r="D198" s="37"/>
    </row>
    <row r="199">
      <c r="D199" s="37"/>
    </row>
    <row r="200">
      <c r="D200" s="37"/>
    </row>
    <row r="201">
      <c r="D201" s="37"/>
    </row>
    <row r="202">
      <c r="D202" s="37"/>
    </row>
    <row r="203">
      <c r="D203" s="37"/>
    </row>
    <row r="204">
      <c r="D204" s="37"/>
    </row>
    <row r="205">
      <c r="D205" s="37"/>
    </row>
    <row r="206">
      <c r="D206" s="37"/>
    </row>
    <row r="207">
      <c r="D207" s="37"/>
    </row>
    <row r="208">
      <c r="D208" s="37"/>
    </row>
    <row r="209">
      <c r="D209" s="37"/>
    </row>
    <row r="210">
      <c r="D210" s="37"/>
    </row>
    <row r="211">
      <c r="D211" s="37"/>
    </row>
    <row r="212">
      <c r="D212" s="37"/>
    </row>
    <row r="213">
      <c r="D213" s="37"/>
    </row>
    <row r="214">
      <c r="D214" s="37"/>
    </row>
    <row r="215">
      <c r="D215" s="37"/>
    </row>
    <row r="216">
      <c r="D216" s="37"/>
    </row>
    <row r="217">
      <c r="D217" s="37"/>
    </row>
    <row r="218">
      <c r="D218" s="37"/>
    </row>
    <row r="219">
      <c r="D219" s="37"/>
    </row>
    <row r="220">
      <c r="D220" s="37"/>
    </row>
    <row r="221">
      <c r="D221" s="37"/>
    </row>
    <row r="222">
      <c r="D222" s="37"/>
    </row>
    <row r="223">
      <c r="D223" s="37"/>
    </row>
    <row r="224">
      <c r="D224" s="37"/>
    </row>
    <row r="225">
      <c r="D225" s="37"/>
    </row>
    <row r="226">
      <c r="D226" s="37"/>
    </row>
    <row r="227">
      <c r="D227" s="37"/>
    </row>
    <row r="228">
      <c r="D228" s="37"/>
    </row>
    <row r="229">
      <c r="D229" s="37"/>
    </row>
    <row r="230">
      <c r="D230" s="37"/>
    </row>
    <row r="231">
      <c r="D231" s="37"/>
    </row>
    <row r="232">
      <c r="D232" s="37"/>
    </row>
    <row r="233">
      <c r="D233" s="37"/>
    </row>
    <row r="234">
      <c r="D234" s="37"/>
    </row>
    <row r="235">
      <c r="D235" s="37"/>
    </row>
    <row r="236">
      <c r="D236" s="37"/>
    </row>
    <row r="237">
      <c r="D237" s="37"/>
    </row>
    <row r="238">
      <c r="D238" s="37"/>
    </row>
    <row r="239">
      <c r="D239" s="37"/>
    </row>
    <row r="240">
      <c r="D240" s="37"/>
    </row>
    <row r="241">
      <c r="D241" s="37"/>
    </row>
    <row r="242">
      <c r="D242" s="37"/>
    </row>
    <row r="243">
      <c r="D243" s="37"/>
    </row>
    <row r="244">
      <c r="D244" s="37"/>
    </row>
    <row r="245">
      <c r="D245" s="37"/>
    </row>
    <row r="246">
      <c r="D246" s="37"/>
    </row>
    <row r="247">
      <c r="D247" s="37"/>
    </row>
    <row r="248">
      <c r="D248" s="37"/>
    </row>
    <row r="249">
      <c r="D249" s="37"/>
    </row>
    <row r="250">
      <c r="D250" s="37"/>
    </row>
    <row r="251">
      <c r="D251" s="37"/>
    </row>
    <row r="252">
      <c r="D252" s="37"/>
    </row>
    <row r="253">
      <c r="D253" s="37"/>
    </row>
    <row r="254">
      <c r="D254" s="37"/>
    </row>
    <row r="255">
      <c r="D255" s="37"/>
    </row>
    <row r="256">
      <c r="D256" s="37"/>
    </row>
    <row r="257">
      <c r="D257" s="37"/>
    </row>
    <row r="258">
      <c r="D258" s="37"/>
    </row>
    <row r="259">
      <c r="D259" s="37"/>
    </row>
    <row r="260">
      <c r="D260" s="37"/>
    </row>
    <row r="261">
      <c r="D261" s="37"/>
    </row>
    <row r="262">
      <c r="D262" s="37"/>
    </row>
    <row r="263">
      <c r="D263" s="37"/>
    </row>
    <row r="264">
      <c r="D264" s="37"/>
    </row>
    <row r="265">
      <c r="D265" s="37"/>
    </row>
    <row r="266">
      <c r="D266" s="37"/>
    </row>
    <row r="267">
      <c r="D267" s="37"/>
    </row>
    <row r="268">
      <c r="D268" s="37"/>
    </row>
    <row r="269">
      <c r="D269" s="37"/>
    </row>
    <row r="270">
      <c r="D270" s="37"/>
    </row>
    <row r="271">
      <c r="D271" s="37"/>
    </row>
    <row r="272">
      <c r="D272" s="37"/>
    </row>
    <row r="273">
      <c r="D273" s="37"/>
    </row>
    <row r="274">
      <c r="D274" s="37"/>
    </row>
    <row r="275">
      <c r="D275" s="37"/>
    </row>
    <row r="276">
      <c r="D276" s="37"/>
    </row>
    <row r="277">
      <c r="D277" s="37"/>
    </row>
    <row r="278">
      <c r="D278" s="37"/>
    </row>
    <row r="279">
      <c r="D279" s="37"/>
    </row>
    <row r="280">
      <c r="D280" s="37"/>
    </row>
    <row r="281">
      <c r="D281" s="37"/>
    </row>
    <row r="282">
      <c r="D282" s="37"/>
    </row>
    <row r="283">
      <c r="D283" s="37"/>
    </row>
    <row r="284">
      <c r="D284" s="37"/>
    </row>
    <row r="285">
      <c r="D285" s="37"/>
    </row>
    <row r="286">
      <c r="D286" s="37"/>
    </row>
    <row r="287">
      <c r="D287" s="37"/>
    </row>
    <row r="288">
      <c r="D288" s="37"/>
    </row>
    <row r="289">
      <c r="D289" s="37"/>
    </row>
    <row r="290">
      <c r="D290" s="37"/>
    </row>
    <row r="291">
      <c r="D291" s="37"/>
    </row>
    <row r="292">
      <c r="D292" s="37"/>
    </row>
    <row r="293">
      <c r="D293" s="37"/>
    </row>
    <row r="294">
      <c r="D294" s="37"/>
    </row>
    <row r="295">
      <c r="D295" s="37"/>
    </row>
    <row r="296">
      <c r="D296" s="37"/>
    </row>
    <row r="297">
      <c r="D297" s="37"/>
    </row>
    <row r="298">
      <c r="D298" s="37"/>
    </row>
    <row r="299">
      <c r="D299" s="37"/>
    </row>
    <row r="300">
      <c r="D300" s="37"/>
    </row>
    <row r="301">
      <c r="D301" s="37"/>
    </row>
    <row r="302">
      <c r="D302" s="37"/>
    </row>
    <row r="303">
      <c r="D303" s="37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</sheetData>
  <mergeCells count="17">
    <mergeCell ref="C1:F1"/>
    <mergeCell ref="H1:K1"/>
    <mergeCell ref="M1:O1"/>
    <mergeCell ref="D9:F9"/>
    <mergeCell ref="D10:F10"/>
    <mergeCell ref="I10:K10"/>
    <mergeCell ref="M12:O12"/>
    <mergeCell ref="I50:K50"/>
    <mergeCell ref="D51:F51"/>
    <mergeCell ref="I51:K51"/>
    <mergeCell ref="D19:F19"/>
    <mergeCell ref="I19:K19"/>
    <mergeCell ref="M21:O21"/>
    <mergeCell ref="D29:F29"/>
    <mergeCell ref="I29:K29"/>
    <mergeCell ref="D41:F41"/>
    <mergeCell ref="I41:K4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4.13"/>
    <col customWidth="1" min="6" max="6" width="20.13"/>
    <col customWidth="1" min="10" max="10" width="27.88"/>
    <col customWidth="1" min="11" max="11" width="21.38"/>
  </cols>
  <sheetData>
    <row r="1">
      <c r="B1" s="1" t="s">
        <v>0</v>
      </c>
      <c r="C1" s="2"/>
      <c r="D1" s="3"/>
      <c r="F1" s="4" t="s">
        <v>1</v>
      </c>
      <c r="G1" s="2"/>
      <c r="H1" s="3"/>
      <c r="J1" s="10" t="s">
        <v>4</v>
      </c>
      <c r="K1" s="5"/>
      <c r="L1" s="5"/>
    </row>
    <row r="2">
      <c r="B2" s="6" t="s">
        <v>2</v>
      </c>
      <c r="C2" s="7" t="s">
        <v>3</v>
      </c>
      <c r="D2" s="8"/>
      <c r="F2" s="9" t="s">
        <v>2</v>
      </c>
      <c r="G2" s="11" t="s">
        <v>3</v>
      </c>
      <c r="H2" s="12"/>
      <c r="J2" s="20">
        <f>SUM(C8,G8,G17,C17,C27,G27,C37,G35,K4,K18,K9,C47,G47,C57,G58)</f>
        <v>5543.14</v>
      </c>
      <c r="K2" s="13"/>
      <c r="L2" s="14"/>
    </row>
    <row r="3">
      <c r="B3" s="15" t="s">
        <v>5</v>
      </c>
      <c r="C3" s="7">
        <f>649.55+25.82</f>
        <v>675.37</v>
      </c>
      <c r="D3" s="16" t="b">
        <v>1</v>
      </c>
      <c r="F3" s="17"/>
      <c r="G3" s="18"/>
      <c r="H3" s="19"/>
      <c r="J3" s="13"/>
      <c r="K3" s="13"/>
      <c r="L3" s="14"/>
    </row>
    <row r="4">
      <c r="B4" s="15" t="s">
        <v>6</v>
      </c>
      <c r="C4" s="7">
        <v>45.04</v>
      </c>
      <c r="D4" s="21" t="b">
        <v>1</v>
      </c>
      <c r="F4" s="22" t="s">
        <v>5</v>
      </c>
      <c r="G4" s="23"/>
      <c r="H4" s="16" t="b">
        <v>0</v>
      </c>
      <c r="J4" s="24"/>
      <c r="K4" s="25"/>
      <c r="L4" s="26"/>
    </row>
    <row r="5">
      <c r="B5" s="15" t="s">
        <v>8</v>
      </c>
      <c r="C5" s="7">
        <f>370.78+227.89</f>
        <v>598.67</v>
      </c>
      <c r="D5" s="21" t="b">
        <v>1</v>
      </c>
      <c r="F5" s="22" t="s">
        <v>6</v>
      </c>
      <c r="G5" s="23"/>
      <c r="H5" s="16" t="b">
        <v>0</v>
      </c>
      <c r="J5" s="24"/>
      <c r="K5" s="25"/>
      <c r="L5" s="26"/>
    </row>
    <row r="6">
      <c r="A6" s="27"/>
      <c r="B6" s="15" t="s">
        <v>12</v>
      </c>
      <c r="C6" s="23">
        <v>379.0</v>
      </c>
      <c r="D6" s="21" t="b">
        <v>1</v>
      </c>
      <c r="F6" s="15" t="s">
        <v>10</v>
      </c>
      <c r="G6" s="23">
        <v>30.0</v>
      </c>
      <c r="H6" s="16" t="b">
        <v>1</v>
      </c>
      <c r="J6" s="28"/>
      <c r="K6" s="25"/>
      <c r="L6" s="26"/>
    </row>
    <row r="7">
      <c r="B7" s="15" t="s">
        <v>15</v>
      </c>
      <c r="C7" s="23">
        <f>131.72+152.8</f>
        <v>284.52</v>
      </c>
      <c r="D7" s="29" t="b">
        <v>1</v>
      </c>
      <c r="F7" s="15" t="s">
        <v>11</v>
      </c>
      <c r="G7" s="23"/>
      <c r="H7" s="16" t="b">
        <v>0</v>
      </c>
      <c r="J7" s="28"/>
      <c r="K7" s="25"/>
      <c r="L7" s="26"/>
    </row>
    <row r="8">
      <c r="B8" s="30" t="s">
        <v>13</v>
      </c>
      <c r="C8" s="31">
        <f>SUM(C3:C7)</f>
        <v>1982.6</v>
      </c>
      <c r="D8" s="32" t="b">
        <v>1</v>
      </c>
      <c r="F8" s="30" t="s">
        <v>13</v>
      </c>
      <c r="G8" s="33">
        <f>SUM(G4:G7)</f>
        <v>30</v>
      </c>
      <c r="H8" s="34" t="b">
        <v>1</v>
      </c>
      <c r="J8" s="35"/>
      <c r="K8" s="36"/>
      <c r="L8" s="26"/>
    </row>
    <row r="9">
      <c r="B9" s="37"/>
      <c r="J9" s="35"/>
      <c r="K9" s="36"/>
      <c r="L9" s="36"/>
    </row>
    <row r="10">
      <c r="B10" s="1" t="s">
        <v>18</v>
      </c>
      <c r="C10" s="2"/>
      <c r="D10" s="3"/>
      <c r="F10" s="4" t="s">
        <v>19</v>
      </c>
      <c r="G10" s="2"/>
      <c r="H10" s="3"/>
    </row>
    <row r="11">
      <c r="B11" s="38" t="s">
        <v>2</v>
      </c>
      <c r="C11" s="39" t="s">
        <v>3</v>
      </c>
      <c r="D11" s="40"/>
      <c r="F11" s="9" t="s">
        <v>2</v>
      </c>
      <c r="G11" s="11" t="s">
        <v>3</v>
      </c>
      <c r="H11" s="12"/>
    </row>
    <row r="12">
      <c r="B12" s="41" t="s">
        <v>20</v>
      </c>
      <c r="C12" s="42"/>
      <c r="D12" s="43" t="b">
        <v>0</v>
      </c>
      <c r="F12" s="22" t="s">
        <v>5</v>
      </c>
      <c r="G12" s="23">
        <f>407+15.9+9.9+11.91+11.92+36.96</f>
        <v>493.59</v>
      </c>
      <c r="H12" s="16" t="b">
        <v>1</v>
      </c>
      <c r="J12" s="44"/>
    </row>
    <row r="13">
      <c r="B13" s="45" t="s">
        <v>6</v>
      </c>
      <c r="C13" s="42"/>
      <c r="D13" s="43" t="b">
        <v>0</v>
      </c>
      <c r="F13" s="15" t="s">
        <v>22</v>
      </c>
      <c r="G13" s="23">
        <v>103.11</v>
      </c>
      <c r="H13" s="46" t="b">
        <v>1</v>
      </c>
      <c r="J13" s="47"/>
      <c r="K13" s="48"/>
      <c r="L13" s="49"/>
    </row>
    <row r="14">
      <c r="B14" s="45" t="s">
        <v>23</v>
      </c>
      <c r="C14" s="50">
        <v>88.88</v>
      </c>
      <c r="D14" s="43" t="b">
        <v>1</v>
      </c>
      <c r="F14" s="15"/>
      <c r="G14" s="23"/>
      <c r="H14" s="46" t="b">
        <v>0</v>
      </c>
      <c r="J14" s="51"/>
      <c r="K14" s="25"/>
      <c r="L14" s="52"/>
    </row>
    <row r="15">
      <c r="B15" s="45" t="s">
        <v>25</v>
      </c>
      <c r="C15" s="50">
        <v>221.44</v>
      </c>
      <c r="D15" s="43" t="b">
        <v>1</v>
      </c>
      <c r="F15" s="15"/>
      <c r="G15" s="23"/>
      <c r="H15" s="46" t="b">
        <v>0</v>
      </c>
      <c r="J15" s="51"/>
      <c r="K15" s="25"/>
      <c r="L15" s="52"/>
    </row>
    <row r="16">
      <c r="B16" s="45" t="s">
        <v>27</v>
      </c>
      <c r="C16" s="42">
        <v>284.99</v>
      </c>
      <c r="D16" s="43" t="b">
        <v>1</v>
      </c>
      <c r="F16" s="15"/>
      <c r="G16" s="23"/>
      <c r="H16" s="46" t="b">
        <v>0</v>
      </c>
      <c r="J16" s="28"/>
      <c r="K16" s="25"/>
      <c r="L16" s="52"/>
    </row>
    <row r="17">
      <c r="B17" s="53" t="s">
        <v>13</v>
      </c>
      <c r="C17" s="54">
        <f>SUM(C12:C16)</f>
        <v>595.31</v>
      </c>
      <c r="D17" s="55" t="b">
        <v>1</v>
      </c>
      <c r="F17" s="30" t="s">
        <v>13</v>
      </c>
      <c r="G17" s="33">
        <f>SUM(G12:G16)</f>
        <v>596.7</v>
      </c>
      <c r="H17" s="34" t="b">
        <v>1</v>
      </c>
      <c r="J17" s="51"/>
      <c r="K17" s="25"/>
      <c r="L17" s="56"/>
    </row>
    <row r="18">
      <c r="B18" s="37"/>
      <c r="J18" s="57"/>
      <c r="K18" s="58"/>
      <c r="L18" s="56"/>
    </row>
    <row r="19">
      <c r="B19" s="1" t="s">
        <v>31</v>
      </c>
      <c r="C19" s="2"/>
      <c r="D19" s="3"/>
      <c r="F19" s="4" t="s">
        <v>32</v>
      </c>
      <c r="G19" s="2"/>
      <c r="H19" s="3"/>
    </row>
    <row r="20">
      <c r="B20" s="6" t="s">
        <v>2</v>
      </c>
      <c r="C20" s="11" t="s">
        <v>3</v>
      </c>
      <c r="D20" s="8"/>
      <c r="F20" s="9" t="s">
        <v>2</v>
      </c>
      <c r="G20" s="11" t="s">
        <v>3</v>
      </c>
      <c r="H20" s="12"/>
    </row>
    <row r="21">
      <c r="B21" s="15" t="s">
        <v>33</v>
      </c>
      <c r="C21" s="23"/>
      <c r="D21" s="16" t="b">
        <v>0</v>
      </c>
      <c r="F21" s="22" t="s">
        <v>5</v>
      </c>
      <c r="G21" s="23">
        <f>18.95+12.94+15.95+15.98+19.75+12.71+10.49+22.96+20.74+16.88+16.95+15.96</f>
        <v>200.26</v>
      </c>
      <c r="H21" s="16" t="b">
        <v>1</v>
      </c>
      <c r="J21" s="5"/>
    </row>
    <row r="22">
      <c r="B22" s="15" t="s">
        <v>34</v>
      </c>
      <c r="C22" s="23"/>
      <c r="D22" s="16" t="b">
        <v>0</v>
      </c>
      <c r="F22" s="22" t="s">
        <v>6</v>
      </c>
      <c r="G22" s="23"/>
      <c r="H22" s="16" t="b">
        <v>0</v>
      </c>
      <c r="J22" s="13"/>
      <c r="K22" s="13"/>
      <c r="L22" s="14"/>
    </row>
    <row r="23">
      <c r="B23" s="15" t="s">
        <v>36</v>
      </c>
      <c r="C23" s="23"/>
      <c r="D23" s="16" t="b">
        <v>0</v>
      </c>
      <c r="F23" s="15" t="s">
        <v>37</v>
      </c>
      <c r="G23" s="23">
        <v>60.0</v>
      </c>
      <c r="H23" s="16" t="b">
        <v>1</v>
      </c>
      <c r="J23" s="24"/>
      <c r="K23" s="25"/>
      <c r="L23" s="26"/>
    </row>
    <row r="24">
      <c r="B24" s="15" t="s">
        <v>38</v>
      </c>
      <c r="C24" s="23"/>
      <c r="D24" s="16" t="b">
        <v>0</v>
      </c>
      <c r="F24" s="15"/>
      <c r="G24" s="23"/>
      <c r="H24" s="16" t="b">
        <v>0</v>
      </c>
      <c r="J24" s="35"/>
      <c r="K24" s="1" t="s">
        <v>40</v>
      </c>
      <c r="L24" s="2"/>
      <c r="M24" s="3"/>
    </row>
    <row r="25">
      <c r="B25" s="15" t="s">
        <v>42</v>
      </c>
      <c r="C25" s="23">
        <v>99.7</v>
      </c>
      <c r="D25" s="16" t="b">
        <v>1</v>
      </c>
      <c r="F25" s="15"/>
      <c r="G25" s="23"/>
      <c r="H25" s="16" t="b">
        <v>0</v>
      </c>
      <c r="K25" s="6" t="s">
        <v>2</v>
      </c>
      <c r="L25" s="11" t="s">
        <v>3</v>
      </c>
      <c r="M25" s="8"/>
    </row>
    <row r="26">
      <c r="B26" s="15" t="s">
        <v>43</v>
      </c>
      <c r="C26" s="23"/>
      <c r="D26" s="16" t="b">
        <v>0</v>
      </c>
      <c r="F26" s="15"/>
      <c r="G26" s="23"/>
      <c r="H26" s="16" t="b">
        <v>0</v>
      </c>
      <c r="K26" s="59" t="s">
        <v>20</v>
      </c>
      <c r="L26" s="7"/>
      <c r="M26" s="16" t="b">
        <v>0</v>
      </c>
    </row>
    <row r="27">
      <c r="B27" s="30" t="s">
        <v>13</v>
      </c>
      <c r="C27" s="31">
        <f>SUM(C21:C26)</f>
        <v>99.7</v>
      </c>
      <c r="D27" s="34" t="b">
        <v>0</v>
      </c>
      <c r="F27" s="30" t="s">
        <v>13</v>
      </c>
      <c r="G27" s="33">
        <f>SUM(G21:G26)</f>
        <v>260.26</v>
      </c>
      <c r="H27" s="34" t="b">
        <v>1</v>
      </c>
      <c r="K27" s="15" t="s">
        <v>44</v>
      </c>
      <c r="L27" s="23">
        <v>4.5</v>
      </c>
      <c r="M27" s="16" t="b">
        <v>0</v>
      </c>
    </row>
    <row r="28">
      <c r="B28" s="37"/>
      <c r="K28" s="6" t="s">
        <v>46</v>
      </c>
      <c r="L28" s="7">
        <v>324.95</v>
      </c>
      <c r="M28" s="16" t="b">
        <v>0</v>
      </c>
    </row>
    <row r="29">
      <c r="F29" s="4" t="s">
        <v>45</v>
      </c>
      <c r="G29" s="2"/>
      <c r="H29" s="3"/>
      <c r="K29" s="6" t="s">
        <v>48</v>
      </c>
      <c r="L29" s="7">
        <v>144.5</v>
      </c>
      <c r="M29" s="16" t="b">
        <v>0</v>
      </c>
    </row>
    <row r="30">
      <c r="B30" s="1" t="s">
        <v>40</v>
      </c>
      <c r="C30" s="2"/>
      <c r="D30" s="3"/>
      <c r="F30" s="9" t="s">
        <v>2</v>
      </c>
      <c r="G30" s="11" t="s">
        <v>3</v>
      </c>
      <c r="H30" s="12"/>
      <c r="K30" s="6" t="s">
        <v>51</v>
      </c>
      <c r="L30" s="23">
        <f>145.83*2</f>
        <v>291.66</v>
      </c>
      <c r="M30" s="16" t="b">
        <v>0</v>
      </c>
    </row>
    <row r="31">
      <c r="B31" s="6" t="s">
        <v>2</v>
      </c>
      <c r="C31" s="11" t="s">
        <v>3</v>
      </c>
      <c r="D31" s="8"/>
      <c r="F31" s="22" t="s">
        <v>5</v>
      </c>
      <c r="G31" s="23">
        <f>5.53+5.53+6.18+21.94+11.13+11.12+16.96+6.92+6.9</f>
        <v>92.21</v>
      </c>
      <c r="H31" s="16" t="b">
        <v>1</v>
      </c>
      <c r="K31" s="30" t="s">
        <v>13</v>
      </c>
      <c r="L31" s="31">
        <f>SUM(L26:L30)</f>
        <v>765.61</v>
      </c>
      <c r="M31" s="34" t="b">
        <v>1</v>
      </c>
    </row>
    <row r="32">
      <c r="B32" s="59" t="s">
        <v>20</v>
      </c>
      <c r="C32" s="7"/>
      <c r="D32" s="16" t="b">
        <v>0</v>
      </c>
      <c r="F32" s="17" t="s">
        <v>52</v>
      </c>
      <c r="G32" s="23"/>
      <c r="H32" s="16" t="b">
        <v>0</v>
      </c>
      <c r="K32" s="61"/>
      <c r="L32" s="49"/>
    </row>
    <row r="33">
      <c r="B33" s="15" t="s">
        <v>44</v>
      </c>
      <c r="C33" s="23">
        <v>4.5</v>
      </c>
      <c r="D33" s="16" t="b">
        <v>0</v>
      </c>
      <c r="F33" s="6" t="s">
        <v>59</v>
      </c>
      <c r="G33" s="23">
        <v>217.5</v>
      </c>
      <c r="H33" s="16" t="b">
        <v>1</v>
      </c>
      <c r="K33" s="61"/>
      <c r="L33" s="49"/>
    </row>
    <row r="34">
      <c r="B34" s="6" t="s">
        <v>46</v>
      </c>
      <c r="C34" s="7">
        <v>324.95</v>
      </c>
      <c r="D34" s="16" t="b">
        <v>0</v>
      </c>
      <c r="F34" s="6" t="s">
        <v>54</v>
      </c>
      <c r="G34" s="23"/>
      <c r="H34" s="16" t="b">
        <v>0</v>
      </c>
      <c r="K34" s="61"/>
      <c r="L34" s="49"/>
    </row>
    <row r="35">
      <c r="B35" s="6" t="s">
        <v>48</v>
      </c>
      <c r="C35" s="7">
        <v>144.5</v>
      </c>
      <c r="D35" s="16" t="b">
        <v>0</v>
      </c>
      <c r="F35" s="30" t="s">
        <v>13</v>
      </c>
      <c r="G35" s="33">
        <f>SUM(G31:G34)</f>
        <v>309.71</v>
      </c>
      <c r="H35" s="34" t="b">
        <v>0</v>
      </c>
      <c r="K35" s="61"/>
      <c r="L35" s="49"/>
    </row>
    <row r="36">
      <c r="B36" s="6" t="s">
        <v>62</v>
      </c>
      <c r="C36" s="23">
        <f>145.83*2</f>
        <v>291.66</v>
      </c>
      <c r="D36" s="16" t="b">
        <v>0</v>
      </c>
      <c r="K36" s="61"/>
      <c r="L36" s="49"/>
    </row>
    <row r="37">
      <c r="B37" s="30" t="s">
        <v>13</v>
      </c>
      <c r="C37" s="31">
        <f>SUM(C32:C36)</f>
        <v>765.61</v>
      </c>
      <c r="D37" s="34" t="b">
        <v>1</v>
      </c>
      <c r="K37" s="61"/>
      <c r="L37" s="49"/>
    </row>
    <row r="38">
      <c r="K38" s="61"/>
      <c r="L38" s="49"/>
    </row>
    <row r="39">
      <c r="F39" s="60"/>
      <c r="G39" s="63"/>
      <c r="K39" s="49"/>
      <c r="L39" s="49"/>
    </row>
    <row r="40">
      <c r="B40" s="37"/>
      <c r="F40" s="60"/>
      <c r="G40" s="63"/>
      <c r="K40" s="49"/>
      <c r="L40" s="49"/>
    </row>
    <row r="41">
      <c r="B41" s="4" t="s">
        <v>60</v>
      </c>
      <c r="C41" s="2"/>
      <c r="D41" s="3"/>
      <c r="F41" s="4" t="s">
        <v>61</v>
      </c>
      <c r="G41" s="2"/>
      <c r="H41" s="3"/>
      <c r="K41" s="49"/>
      <c r="L41" s="49"/>
    </row>
    <row r="42">
      <c r="B42" s="9" t="s">
        <v>2</v>
      </c>
      <c r="C42" s="11" t="s">
        <v>3</v>
      </c>
      <c r="D42" s="12"/>
      <c r="F42" s="9" t="s">
        <v>2</v>
      </c>
      <c r="G42" s="11" t="s">
        <v>3</v>
      </c>
      <c r="H42" s="12"/>
      <c r="K42" s="61"/>
      <c r="L42" s="49"/>
    </row>
    <row r="43">
      <c r="B43" s="22" t="s">
        <v>5</v>
      </c>
      <c r="C43" s="23">
        <v>209.99</v>
      </c>
      <c r="D43" s="16" t="b">
        <v>1</v>
      </c>
      <c r="F43" s="22" t="s">
        <v>5</v>
      </c>
      <c r="G43" s="23">
        <f>41.1+35.97+23.76+25</f>
        <v>125.83</v>
      </c>
      <c r="H43" s="16" t="b">
        <v>1</v>
      </c>
      <c r="K43" s="49"/>
      <c r="L43" s="49"/>
    </row>
    <row r="44">
      <c r="B44" s="17" t="s">
        <v>64</v>
      </c>
      <c r="C44" s="23"/>
      <c r="D44" s="16" t="b">
        <v>0</v>
      </c>
      <c r="F44" s="17" t="s">
        <v>65</v>
      </c>
      <c r="G44" s="23">
        <v>0.0</v>
      </c>
      <c r="H44" s="16" t="b">
        <v>0</v>
      </c>
      <c r="K44" s="49"/>
      <c r="L44" s="66"/>
    </row>
    <row r="45">
      <c r="B45" s="6" t="s">
        <v>6</v>
      </c>
      <c r="C45" s="23">
        <v>110.53</v>
      </c>
      <c r="D45" s="16" t="b">
        <v>1</v>
      </c>
      <c r="F45" s="6" t="s">
        <v>68</v>
      </c>
      <c r="G45" s="23">
        <v>0.0</v>
      </c>
      <c r="H45" s="16" t="b">
        <v>0</v>
      </c>
      <c r="L45" s="25"/>
    </row>
    <row r="46">
      <c r="B46" s="6" t="s">
        <v>69</v>
      </c>
      <c r="C46" s="23"/>
      <c r="D46" s="16" t="b">
        <v>0</v>
      </c>
      <c r="F46" s="6"/>
      <c r="G46" s="23"/>
      <c r="H46" s="16" t="b">
        <v>0</v>
      </c>
      <c r="L46" s="25"/>
    </row>
    <row r="47">
      <c r="B47" s="64" t="s">
        <v>13</v>
      </c>
      <c r="C47" s="33">
        <f>SUM(C43:C46)</f>
        <v>320.52</v>
      </c>
      <c r="D47" s="34" t="b">
        <v>1</v>
      </c>
      <c r="F47" s="64" t="s">
        <v>13</v>
      </c>
      <c r="G47" s="33">
        <f>SUM(G43:G46)</f>
        <v>125.83</v>
      </c>
      <c r="H47" s="34" t="b">
        <v>1</v>
      </c>
      <c r="L47" s="25"/>
    </row>
    <row r="48">
      <c r="B48" s="37"/>
      <c r="L48" s="36"/>
    </row>
    <row r="49">
      <c r="B49" s="37"/>
    </row>
    <row r="50">
      <c r="B50" s="37"/>
      <c r="E50" s="49"/>
      <c r="F50" s="49"/>
    </row>
    <row r="51">
      <c r="B51" s="4" t="s">
        <v>72</v>
      </c>
      <c r="C51" s="2"/>
      <c r="D51" s="3"/>
      <c r="E51" s="49"/>
      <c r="F51" s="65" t="s">
        <v>73</v>
      </c>
      <c r="G51" s="2"/>
      <c r="H51" s="3"/>
    </row>
    <row r="52">
      <c r="B52" s="9" t="s">
        <v>2</v>
      </c>
      <c r="C52" s="11" t="s">
        <v>3</v>
      </c>
      <c r="D52" s="12"/>
      <c r="E52" s="49"/>
      <c r="F52" s="67" t="s">
        <v>2</v>
      </c>
      <c r="G52" s="68" t="s">
        <v>3</v>
      </c>
      <c r="H52" s="69"/>
    </row>
    <row r="53">
      <c r="B53" s="22" t="s">
        <v>78</v>
      </c>
      <c r="C53" s="23">
        <f>456.9-46.9</f>
        <v>410</v>
      </c>
      <c r="D53" s="16" t="b">
        <v>1</v>
      </c>
      <c r="E53" s="49"/>
      <c r="F53" s="70" t="s">
        <v>75</v>
      </c>
      <c r="G53" s="71"/>
      <c r="H53" s="72" t="b">
        <v>0</v>
      </c>
    </row>
    <row r="54">
      <c r="B54" s="17" t="s">
        <v>6</v>
      </c>
      <c r="C54" s="23">
        <v>46.9</v>
      </c>
      <c r="D54" s="16" t="b">
        <v>1</v>
      </c>
      <c r="E54" s="49"/>
      <c r="F54" s="73"/>
      <c r="G54" s="74"/>
      <c r="H54" s="75" t="b">
        <v>0</v>
      </c>
    </row>
    <row r="55">
      <c r="B55" s="6"/>
      <c r="C55" s="23"/>
      <c r="D55" s="16" t="b">
        <v>0</v>
      </c>
      <c r="E55" s="49"/>
      <c r="F55" s="73"/>
      <c r="G55" s="76"/>
      <c r="H55" s="75" t="b">
        <v>0</v>
      </c>
    </row>
    <row r="56">
      <c r="B56" s="6"/>
      <c r="C56" s="23"/>
      <c r="D56" s="16" t="b">
        <v>0</v>
      </c>
      <c r="E56" s="49"/>
      <c r="F56" s="73"/>
      <c r="G56" s="76"/>
      <c r="H56" s="75" t="b">
        <v>0</v>
      </c>
    </row>
    <row r="57">
      <c r="B57" s="64" t="s">
        <v>13</v>
      </c>
      <c r="C57" s="33">
        <f>SUM(C53:C56)</f>
        <v>456.9</v>
      </c>
      <c r="D57" s="34" t="b">
        <v>1</v>
      </c>
      <c r="E57" s="49"/>
      <c r="F57" s="77"/>
      <c r="G57" s="78"/>
      <c r="H57" s="75" t="b">
        <v>0</v>
      </c>
    </row>
    <row r="58">
      <c r="B58" s="37"/>
      <c r="E58" s="49"/>
      <c r="F58" s="79" t="s">
        <v>13</v>
      </c>
      <c r="G58" s="80">
        <f>SUM(G53:G57)</f>
        <v>0</v>
      </c>
      <c r="H58" s="81" t="b">
        <v>0</v>
      </c>
    </row>
    <row r="59">
      <c r="B59" s="37"/>
    </row>
    <row r="60">
      <c r="B60" s="37"/>
    </row>
    <row r="61">
      <c r="B61" s="37"/>
    </row>
    <row r="62">
      <c r="B62" s="37"/>
    </row>
    <row r="63">
      <c r="B63" s="37"/>
    </row>
    <row r="64">
      <c r="B64" s="37"/>
    </row>
    <row r="65">
      <c r="B65" s="37"/>
    </row>
    <row r="66">
      <c r="B66" s="37"/>
    </row>
    <row r="67">
      <c r="B67" s="37"/>
    </row>
    <row r="68">
      <c r="B68" s="37"/>
    </row>
    <row r="69">
      <c r="B69" s="37"/>
    </row>
    <row r="70">
      <c r="B70" s="37"/>
    </row>
    <row r="71">
      <c r="B71" s="37"/>
    </row>
    <row r="72">
      <c r="B72" s="37"/>
    </row>
    <row r="73">
      <c r="B73" s="37"/>
    </row>
    <row r="74">
      <c r="B74" s="37"/>
    </row>
    <row r="75">
      <c r="B75" s="37"/>
    </row>
    <row r="76">
      <c r="B76" s="37"/>
    </row>
    <row r="77">
      <c r="B77" s="37"/>
    </row>
    <row r="78">
      <c r="B78" s="37"/>
    </row>
    <row r="79">
      <c r="B79" s="37"/>
    </row>
    <row r="80">
      <c r="B80" s="37"/>
    </row>
    <row r="81">
      <c r="B81" s="37"/>
    </row>
    <row r="82">
      <c r="B82" s="37"/>
    </row>
    <row r="83">
      <c r="B83" s="37"/>
    </row>
    <row r="84">
      <c r="B84" s="37"/>
    </row>
    <row r="85">
      <c r="B85" s="37"/>
    </row>
    <row r="86">
      <c r="B86" s="37"/>
    </row>
    <row r="87">
      <c r="B87" s="37"/>
    </row>
    <row r="88">
      <c r="B88" s="37"/>
    </row>
    <row r="89">
      <c r="B89" s="37"/>
    </row>
    <row r="90">
      <c r="B90" s="37"/>
    </row>
    <row r="91">
      <c r="B91" s="37"/>
    </row>
    <row r="92">
      <c r="B92" s="37"/>
    </row>
    <row r="93">
      <c r="B93" s="37"/>
    </row>
    <row r="94">
      <c r="B94" s="37"/>
    </row>
    <row r="95">
      <c r="B95" s="37"/>
    </row>
    <row r="96">
      <c r="B96" s="37"/>
    </row>
    <row r="97">
      <c r="B97" s="37"/>
    </row>
    <row r="98">
      <c r="B98" s="37"/>
    </row>
    <row r="99">
      <c r="B99" s="37"/>
    </row>
    <row r="100">
      <c r="B100" s="37"/>
    </row>
    <row r="101">
      <c r="B101" s="37"/>
    </row>
    <row r="102">
      <c r="B102" s="37"/>
    </row>
    <row r="103">
      <c r="B103" s="37"/>
    </row>
    <row r="104">
      <c r="B104" s="37"/>
    </row>
    <row r="105">
      <c r="B105" s="37"/>
    </row>
    <row r="106">
      <c r="B106" s="37"/>
    </row>
    <row r="107">
      <c r="B107" s="37"/>
    </row>
    <row r="108">
      <c r="B108" s="37"/>
    </row>
    <row r="109">
      <c r="B109" s="37"/>
    </row>
    <row r="110">
      <c r="B110" s="37"/>
    </row>
    <row r="111">
      <c r="B111" s="37"/>
    </row>
    <row r="112">
      <c r="B112" s="37"/>
    </row>
    <row r="113">
      <c r="B113" s="37"/>
    </row>
    <row r="114">
      <c r="B114" s="37"/>
    </row>
    <row r="115">
      <c r="B115" s="37"/>
    </row>
    <row r="116">
      <c r="B116" s="37"/>
    </row>
    <row r="117">
      <c r="B117" s="37"/>
    </row>
    <row r="118">
      <c r="B118" s="37"/>
    </row>
    <row r="119">
      <c r="B119" s="37"/>
    </row>
    <row r="120">
      <c r="B120" s="37"/>
    </row>
    <row r="121">
      <c r="B121" s="37"/>
    </row>
    <row r="122">
      <c r="B122" s="37"/>
    </row>
    <row r="123">
      <c r="B123" s="37"/>
    </row>
    <row r="124">
      <c r="B124" s="37"/>
    </row>
    <row r="125">
      <c r="B125" s="37"/>
    </row>
    <row r="126">
      <c r="B126" s="37"/>
    </row>
    <row r="127">
      <c r="B127" s="37"/>
    </row>
    <row r="128">
      <c r="B128" s="37"/>
    </row>
    <row r="129">
      <c r="B129" s="37"/>
    </row>
    <row r="130">
      <c r="B130" s="37"/>
    </row>
    <row r="131">
      <c r="B131" s="37"/>
    </row>
    <row r="132">
      <c r="B132" s="37"/>
    </row>
    <row r="133">
      <c r="B133" s="37"/>
    </row>
    <row r="134">
      <c r="B134" s="37"/>
    </row>
    <row r="135">
      <c r="B135" s="37"/>
    </row>
    <row r="136">
      <c r="B136" s="37"/>
    </row>
    <row r="137">
      <c r="B137" s="37"/>
    </row>
    <row r="138">
      <c r="B138" s="37"/>
    </row>
    <row r="139">
      <c r="B139" s="37"/>
    </row>
    <row r="140">
      <c r="B140" s="37"/>
    </row>
    <row r="141">
      <c r="B141" s="37"/>
    </row>
    <row r="142">
      <c r="B142" s="37"/>
    </row>
    <row r="143">
      <c r="B143" s="37"/>
    </row>
    <row r="144">
      <c r="B144" s="37"/>
    </row>
    <row r="145">
      <c r="B145" s="37"/>
    </row>
    <row r="146">
      <c r="B146" s="37"/>
    </row>
    <row r="147">
      <c r="B147" s="37"/>
    </row>
    <row r="148">
      <c r="B148" s="37"/>
    </row>
    <row r="149">
      <c r="B149" s="37"/>
    </row>
    <row r="150">
      <c r="B150" s="37"/>
    </row>
    <row r="151">
      <c r="B151" s="37"/>
    </row>
    <row r="152">
      <c r="B152" s="37"/>
    </row>
    <row r="153">
      <c r="B153" s="37"/>
    </row>
    <row r="154">
      <c r="B154" s="37"/>
    </row>
    <row r="155">
      <c r="B155" s="37"/>
    </row>
    <row r="156">
      <c r="B156" s="37"/>
    </row>
    <row r="157">
      <c r="B157" s="37"/>
    </row>
    <row r="158">
      <c r="B158" s="37"/>
    </row>
    <row r="159">
      <c r="B159" s="37"/>
    </row>
    <row r="160">
      <c r="B160" s="37"/>
    </row>
    <row r="161">
      <c r="B161" s="37"/>
    </row>
    <row r="162">
      <c r="B162" s="37"/>
    </row>
    <row r="163">
      <c r="B163" s="37"/>
    </row>
    <row r="164">
      <c r="B164" s="37"/>
    </row>
    <row r="165">
      <c r="B165" s="37"/>
    </row>
    <row r="166">
      <c r="B166" s="37"/>
    </row>
    <row r="167">
      <c r="B167" s="37"/>
    </row>
    <row r="168">
      <c r="B168" s="37"/>
    </row>
    <row r="169">
      <c r="B169" s="37"/>
    </row>
    <row r="170">
      <c r="B170" s="37"/>
    </row>
    <row r="171">
      <c r="B171" s="37"/>
    </row>
    <row r="172">
      <c r="B172" s="37"/>
    </row>
    <row r="173">
      <c r="B173" s="37"/>
    </row>
    <row r="174">
      <c r="B174" s="37"/>
    </row>
    <row r="175">
      <c r="B175" s="37"/>
    </row>
    <row r="176">
      <c r="B176" s="37"/>
    </row>
    <row r="177">
      <c r="B177" s="37"/>
    </row>
    <row r="178">
      <c r="B178" s="37"/>
    </row>
    <row r="179">
      <c r="B179" s="37"/>
    </row>
    <row r="180">
      <c r="B180" s="37"/>
    </row>
    <row r="181">
      <c r="B181" s="37"/>
    </row>
    <row r="182">
      <c r="B182" s="37"/>
    </row>
    <row r="183">
      <c r="B183" s="37"/>
    </row>
    <row r="184">
      <c r="B184" s="37"/>
    </row>
    <row r="185">
      <c r="B185" s="37"/>
    </row>
    <row r="186">
      <c r="B186" s="37"/>
    </row>
    <row r="187">
      <c r="B187" s="37"/>
    </row>
    <row r="188">
      <c r="B188" s="37"/>
    </row>
    <row r="189">
      <c r="B189" s="37"/>
    </row>
    <row r="190">
      <c r="B190" s="37"/>
    </row>
    <row r="191">
      <c r="B191" s="37"/>
    </row>
    <row r="192">
      <c r="B192" s="37"/>
    </row>
    <row r="193">
      <c r="B193" s="37"/>
    </row>
    <row r="194">
      <c r="B194" s="37"/>
    </row>
    <row r="195">
      <c r="B195" s="37"/>
    </row>
    <row r="196">
      <c r="B196" s="37"/>
    </row>
    <row r="197">
      <c r="B197" s="37"/>
    </row>
    <row r="198">
      <c r="B198" s="37"/>
    </row>
    <row r="199">
      <c r="B199" s="37"/>
    </row>
    <row r="200">
      <c r="B200" s="37"/>
    </row>
    <row r="201">
      <c r="B201" s="37"/>
    </row>
    <row r="202">
      <c r="B202" s="37"/>
    </row>
    <row r="203">
      <c r="B203" s="37"/>
    </row>
    <row r="204">
      <c r="B204" s="37"/>
    </row>
    <row r="205">
      <c r="B205" s="37"/>
    </row>
    <row r="206">
      <c r="B206" s="37"/>
    </row>
    <row r="207">
      <c r="B207" s="37"/>
    </row>
    <row r="208">
      <c r="B208" s="37"/>
    </row>
    <row r="209">
      <c r="B209" s="37"/>
    </row>
    <row r="210">
      <c r="B210" s="37"/>
    </row>
    <row r="211">
      <c r="B211" s="37"/>
    </row>
    <row r="212">
      <c r="B212" s="37"/>
    </row>
    <row r="213">
      <c r="B213" s="37"/>
    </row>
    <row r="214">
      <c r="B214" s="37"/>
    </row>
    <row r="215">
      <c r="B215" s="37"/>
    </row>
    <row r="216">
      <c r="B216" s="37"/>
    </row>
    <row r="217">
      <c r="B217" s="37"/>
    </row>
    <row r="218">
      <c r="B218" s="37"/>
    </row>
    <row r="219">
      <c r="B219" s="37"/>
    </row>
    <row r="220">
      <c r="B220" s="37"/>
    </row>
    <row r="221">
      <c r="B221" s="37"/>
    </row>
    <row r="222">
      <c r="B222" s="37"/>
    </row>
    <row r="223">
      <c r="B223" s="37"/>
    </row>
    <row r="224">
      <c r="B224" s="37"/>
    </row>
    <row r="225">
      <c r="B225" s="37"/>
    </row>
    <row r="226">
      <c r="B226" s="37"/>
    </row>
    <row r="227">
      <c r="B227" s="37"/>
    </row>
    <row r="228">
      <c r="B228" s="37"/>
    </row>
    <row r="229">
      <c r="B229" s="37"/>
    </row>
    <row r="230">
      <c r="B230" s="37"/>
    </row>
    <row r="231">
      <c r="B231" s="37"/>
    </row>
    <row r="232">
      <c r="B232" s="37"/>
    </row>
    <row r="233">
      <c r="B233" s="37"/>
    </row>
    <row r="234">
      <c r="B234" s="37"/>
    </row>
    <row r="235">
      <c r="B235" s="37"/>
    </row>
    <row r="236">
      <c r="B236" s="37"/>
    </row>
    <row r="237">
      <c r="B237" s="37"/>
    </row>
    <row r="238">
      <c r="B238" s="37"/>
    </row>
    <row r="239">
      <c r="B239" s="37"/>
    </row>
    <row r="240">
      <c r="B240" s="37"/>
    </row>
    <row r="241">
      <c r="B241" s="37"/>
    </row>
    <row r="242">
      <c r="B242" s="37"/>
    </row>
    <row r="243">
      <c r="B243" s="37"/>
    </row>
    <row r="244">
      <c r="B244" s="37"/>
    </row>
    <row r="245">
      <c r="B245" s="37"/>
    </row>
    <row r="246">
      <c r="B246" s="37"/>
    </row>
    <row r="247">
      <c r="B247" s="37"/>
    </row>
    <row r="248">
      <c r="B248" s="37"/>
    </row>
    <row r="249">
      <c r="B249" s="37"/>
    </row>
    <row r="250">
      <c r="B250" s="37"/>
    </row>
    <row r="251">
      <c r="B251" s="37"/>
    </row>
    <row r="252">
      <c r="B252" s="37"/>
    </row>
    <row r="253">
      <c r="B253" s="37"/>
    </row>
    <row r="254">
      <c r="B254" s="37"/>
    </row>
    <row r="255">
      <c r="B255" s="37"/>
    </row>
    <row r="256">
      <c r="B256" s="37"/>
    </row>
    <row r="257">
      <c r="B257" s="37"/>
    </row>
    <row r="258">
      <c r="B258" s="37"/>
    </row>
    <row r="259">
      <c r="B259" s="37"/>
    </row>
    <row r="260">
      <c r="B260" s="37"/>
    </row>
    <row r="261">
      <c r="B261" s="37"/>
    </row>
    <row r="262">
      <c r="B262" s="37"/>
    </row>
    <row r="263">
      <c r="B263" s="37"/>
    </row>
    <row r="264">
      <c r="B264" s="37"/>
    </row>
    <row r="265">
      <c r="B265" s="37"/>
    </row>
    <row r="266">
      <c r="B266" s="37"/>
    </row>
    <row r="267">
      <c r="B267" s="37"/>
    </row>
    <row r="268">
      <c r="B268" s="37"/>
    </row>
    <row r="269">
      <c r="B269" s="37"/>
    </row>
    <row r="270">
      <c r="B270" s="37"/>
    </row>
    <row r="271">
      <c r="B271" s="37"/>
    </row>
    <row r="272">
      <c r="B272" s="37"/>
    </row>
    <row r="273">
      <c r="B273" s="37"/>
    </row>
    <row r="274">
      <c r="B274" s="37"/>
    </row>
    <row r="275">
      <c r="B275" s="37"/>
    </row>
    <row r="276">
      <c r="B276" s="37"/>
    </row>
    <row r="277">
      <c r="B277" s="37"/>
    </row>
    <row r="278">
      <c r="B278" s="37"/>
    </row>
    <row r="279">
      <c r="B279" s="37"/>
    </row>
    <row r="280">
      <c r="B280" s="37"/>
    </row>
    <row r="281">
      <c r="B281" s="37"/>
    </row>
    <row r="282">
      <c r="B282" s="37"/>
    </row>
    <row r="283">
      <c r="B283" s="37"/>
    </row>
    <row r="284">
      <c r="B284" s="37"/>
    </row>
    <row r="285">
      <c r="B285" s="37"/>
    </row>
    <row r="286">
      <c r="B286" s="37"/>
    </row>
    <row r="287">
      <c r="B287" s="37"/>
    </row>
    <row r="288">
      <c r="B288" s="37"/>
    </row>
    <row r="289">
      <c r="B289" s="37"/>
    </row>
    <row r="290">
      <c r="B290" s="37"/>
    </row>
    <row r="291">
      <c r="B291" s="37"/>
    </row>
    <row r="292">
      <c r="B292" s="37"/>
    </row>
    <row r="293">
      <c r="B293" s="37"/>
    </row>
    <row r="294">
      <c r="B294" s="37"/>
    </row>
    <row r="295">
      <c r="B295" s="37"/>
    </row>
    <row r="296">
      <c r="B296" s="37"/>
    </row>
    <row r="297">
      <c r="B297" s="37"/>
    </row>
    <row r="298">
      <c r="B298" s="37"/>
    </row>
    <row r="299">
      <c r="B299" s="37"/>
    </row>
    <row r="300">
      <c r="B300" s="37"/>
    </row>
    <row r="301">
      <c r="B301" s="37"/>
    </row>
    <row r="302">
      <c r="B302" s="37"/>
    </row>
    <row r="303">
      <c r="B303" s="37"/>
    </row>
    <row r="304">
      <c r="B304" s="37"/>
    </row>
    <row r="305">
      <c r="B305" s="37"/>
    </row>
    <row r="306">
      <c r="B306" s="37"/>
    </row>
    <row r="307">
      <c r="B307" s="37"/>
    </row>
    <row r="308">
      <c r="B308" s="37"/>
    </row>
    <row r="309">
      <c r="B309" s="37"/>
    </row>
    <row r="310">
      <c r="B310" s="37"/>
    </row>
    <row r="311">
      <c r="B311" s="37"/>
    </row>
    <row r="312">
      <c r="B312" s="37"/>
    </row>
    <row r="313">
      <c r="B313" s="37"/>
    </row>
    <row r="314">
      <c r="B314" s="37"/>
    </row>
    <row r="315">
      <c r="B315" s="37"/>
    </row>
    <row r="316">
      <c r="B316" s="37"/>
    </row>
    <row r="317">
      <c r="B317" s="37"/>
    </row>
    <row r="318">
      <c r="B318" s="37"/>
    </row>
    <row r="319">
      <c r="B319" s="37"/>
    </row>
    <row r="320">
      <c r="B320" s="37"/>
    </row>
    <row r="321">
      <c r="B321" s="37"/>
    </row>
    <row r="322">
      <c r="B322" s="37"/>
    </row>
    <row r="323">
      <c r="B323" s="37"/>
    </row>
    <row r="324">
      <c r="B324" s="37"/>
    </row>
    <row r="325">
      <c r="B325" s="37"/>
    </row>
    <row r="326">
      <c r="B326" s="37"/>
    </row>
    <row r="327">
      <c r="B327" s="37"/>
    </row>
    <row r="328">
      <c r="B328" s="37"/>
    </row>
    <row r="329">
      <c r="B329" s="37"/>
    </row>
    <row r="330">
      <c r="B330" s="37"/>
    </row>
    <row r="331">
      <c r="B331" s="37"/>
    </row>
    <row r="332">
      <c r="B332" s="37"/>
    </row>
    <row r="333">
      <c r="B333" s="37"/>
    </row>
    <row r="334">
      <c r="B334" s="37"/>
    </row>
    <row r="335">
      <c r="B335" s="37"/>
    </row>
    <row r="336">
      <c r="B336" s="37"/>
    </row>
    <row r="337">
      <c r="B337" s="37"/>
    </row>
    <row r="338">
      <c r="B338" s="37"/>
    </row>
    <row r="339">
      <c r="B339" s="37"/>
    </row>
    <row r="340">
      <c r="B340" s="37"/>
    </row>
    <row r="341">
      <c r="B341" s="37"/>
    </row>
    <row r="342">
      <c r="B342" s="37"/>
    </row>
    <row r="343">
      <c r="B343" s="37"/>
    </row>
    <row r="344">
      <c r="B344" s="37"/>
    </row>
    <row r="345">
      <c r="B345" s="37"/>
    </row>
    <row r="346">
      <c r="B346" s="37"/>
    </row>
    <row r="347">
      <c r="B347" s="37"/>
    </row>
    <row r="348">
      <c r="B348" s="37"/>
    </row>
    <row r="349">
      <c r="B349" s="37"/>
    </row>
    <row r="350">
      <c r="B350" s="37"/>
    </row>
    <row r="351">
      <c r="B351" s="37"/>
    </row>
    <row r="352">
      <c r="B352" s="37"/>
    </row>
    <row r="353">
      <c r="B353" s="37"/>
    </row>
    <row r="354">
      <c r="B354" s="37"/>
    </row>
    <row r="355">
      <c r="B355" s="37"/>
    </row>
    <row r="356">
      <c r="B356" s="37"/>
    </row>
    <row r="357">
      <c r="B357" s="37"/>
    </row>
    <row r="358">
      <c r="B358" s="37"/>
    </row>
    <row r="359">
      <c r="B359" s="37"/>
    </row>
    <row r="360">
      <c r="B360" s="37"/>
    </row>
    <row r="361">
      <c r="B361" s="37"/>
    </row>
    <row r="362">
      <c r="B362" s="37"/>
    </row>
    <row r="363">
      <c r="B363" s="37"/>
    </row>
    <row r="364">
      <c r="B364" s="37"/>
    </row>
    <row r="365">
      <c r="B365" s="37"/>
    </row>
    <row r="366">
      <c r="B366" s="37"/>
    </row>
    <row r="367">
      <c r="B367" s="37"/>
    </row>
    <row r="368">
      <c r="B368" s="37"/>
    </row>
    <row r="369">
      <c r="B369" s="37"/>
    </row>
    <row r="370">
      <c r="B370" s="37"/>
    </row>
    <row r="371">
      <c r="B371" s="37"/>
    </row>
    <row r="372">
      <c r="B372" s="37"/>
    </row>
    <row r="373">
      <c r="B373" s="37"/>
    </row>
    <row r="374">
      <c r="B374" s="37"/>
    </row>
    <row r="375">
      <c r="B375" s="37"/>
    </row>
    <row r="376">
      <c r="B376" s="37"/>
    </row>
    <row r="377">
      <c r="B377" s="37"/>
    </row>
    <row r="378">
      <c r="B378" s="37"/>
    </row>
    <row r="379">
      <c r="B379" s="37"/>
    </row>
    <row r="380">
      <c r="B380" s="37"/>
    </row>
    <row r="381">
      <c r="B381" s="37"/>
    </row>
    <row r="382">
      <c r="B382" s="37"/>
    </row>
    <row r="383">
      <c r="B383" s="37"/>
    </row>
    <row r="384">
      <c r="B384" s="37"/>
    </row>
    <row r="385">
      <c r="B385" s="37"/>
    </row>
    <row r="386">
      <c r="B386" s="37"/>
    </row>
    <row r="387">
      <c r="B387" s="37"/>
    </row>
    <row r="388">
      <c r="B388" s="37"/>
    </row>
    <row r="389">
      <c r="B389" s="37"/>
    </row>
    <row r="390">
      <c r="B390" s="37"/>
    </row>
    <row r="391">
      <c r="B391" s="37"/>
    </row>
    <row r="392">
      <c r="B392" s="37"/>
    </row>
    <row r="393">
      <c r="B393" s="37"/>
    </row>
    <row r="394">
      <c r="B394" s="37"/>
    </row>
    <row r="395">
      <c r="B395" s="37"/>
    </row>
    <row r="396">
      <c r="B396" s="37"/>
    </row>
    <row r="397">
      <c r="B397" s="37"/>
    </row>
    <row r="398">
      <c r="B398" s="37"/>
    </row>
    <row r="399">
      <c r="B399" s="37"/>
    </row>
    <row r="400">
      <c r="B400" s="37"/>
    </row>
    <row r="401">
      <c r="B401" s="37"/>
    </row>
    <row r="402">
      <c r="B402" s="37"/>
    </row>
    <row r="403">
      <c r="B403" s="37"/>
    </row>
    <row r="404">
      <c r="B404" s="37"/>
    </row>
    <row r="405">
      <c r="B405" s="37"/>
    </row>
    <row r="406">
      <c r="B406" s="37"/>
    </row>
    <row r="407">
      <c r="B407" s="37"/>
    </row>
    <row r="408">
      <c r="B408" s="37"/>
    </row>
    <row r="409">
      <c r="B409" s="37"/>
    </row>
    <row r="410">
      <c r="B410" s="37"/>
    </row>
    <row r="411">
      <c r="B411" s="37"/>
    </row>
    <row r="412">
      <c r="B412" s="37"/>
    </row>
    <row r="413">
      <c r="B413" s="37"/>
    </row>
    <row r="414">
      <c r="B414" s="37"/>
    </row>
    <row r="415">
      <c r="B415" s="37"/>
    </row>
    <row r="416">
      <c r="B416" s="37"/>
    </row>
    <row r="417">
      <c r="B417" s="37"/>
    </row>
    <row r="418">
      <c r="B418" s="37"/>
    </row>
    <row r="419">
      <c r="B419" s="37"/>
    </row>
    <row r="420">
      <c r="B420" s="37"/>
    </row>
    <row r="421">
      <c r="B421" s="37"/>
    </row>
    <row r="422">
      <c r="B422" s="37"/>
    </row>
    <row r="423">
      <c r="B423" s="37"/>
    </row>
    <row r="424">
      <c r="B424" s="37"/>
    </row>
    <row r="425">
      <c r="B425" s="37"/>
    </row>
    <row r="426">
      <c r="B426" s="37"/>
    </row>
    <row r="427">
      <c r="B427" s="37"/>
    </row>
    <row r="428">
      <c r="B428" s="37"/>
    </row>
    <row r="429">
      <c r="B429" s="37"/>
    </row>
    <row r="430">
      <c r="B430" s="37"/>
    </row>
    <row r="431">
      <c r="B431" s="37"/>
    </row>
    <row r="432">
      <c r="B432" s="37"/>
    </row>
    <row r="433">
      <c r="B433" s="37"/>
    </row>
    <row r="434">
      <c r="B434" s="37"/>
    </row>
    <row r="435">
      <c r="B435" s="37"/>
    </row>
    <row r="436">
      <c r="B436" s="37"/>
    </row>
    <row r="437">
      <c r="B437" s="37"/>
    </row>
    <row r="438">
      <c r="B438" s="37"/>
    </row>
    <row r="439">
      <c r="B439" s="37"/>
    </row>
    <row r="440">
      <c r="B440" s="37"/>
    </row>
    <row r="441">
      <c r="B441" s="37"/>
    </row>
    <row r="442">
      <c r="B442" s="37"/>
    </row>
    <row r="443">
      <c r="B443" s="37"/>
    </row>
    <row r="444">
      <c r="B444" s="37"/>
    </row>
    <row r="445">
      <c r="B445" s="37"/>
    </row>
    <row r="446">
      <c r="B446" s="37"/>
    </row>
    <row r="447">
      <c r="B447" s="37"/>
    </row>
    <row r="448">
      <c r="B448" s="37"/>
    </row>
    <row r="449">
      <c r="B449" s="37"/>
    </row>
    <row r="450">
      <c r="B450" s="37"/>
    </row>
    <row r="451">
      <c r="B451" s="37"/>
    </row>
    <row r="452">
      <c r="B452" s="37"/>
    </row>
    <row r="453">
      <c r="B453" s="37"/>
    </row>
    <row r="454">
      <c r="B454" s="37"/>
    </row>
    <row r="455">
      <c r="B455" s="37"/>
    </row>
    <row r="456">
      <c r="B456" s="37"/>
    </row>
    <row r="457">
      <c r="B457" s="37"/>
    </row>
    <row r="458">
      <c r="B458" s="37"/>
    </row>
    <row r="459">
      <c r="B459" s="37"/>
    </row>
    <row r="460">
      <c r="B460" s="37"/>
    </row>
    <row r="461">
      <c r="B461" s="37"/>
    </row>
    <row r="462">
      <c r="B462" s="37"/>
    </row>
    <row r="463">
      <c r="B463" s="37"/>
    </row>
    <row r="464">
      <c r="B464" s="37"/>
    </row>
    <row r="465">
      <c r="B465" s="37"/>
    </row>
    <row r="466">
      <c r="B466" s="37"/>
    </row>
    <row r="467">
      <c r="B467" s="37"/>
    </row>
    <row r="468">
      <c r="B468" s="37"/>
    </row>
    <row r="469">
      <c r="B469" s="37"/>
    </row>
    <row r="470">
      <c r="B470" s="37"/>
    </row>
    <row r="471">
      <c r="B471" s="37"/>
    </row>
    <row r="472">
      <c r="B472" s="37"/>
    </row>
    <row r="473">
      <c r="B473" s="37"/>
    </row>
    <row r="474">
      <c r="B474" s="37"/>
    </row>
    <row r="475">
      <c r="B475" s="37"/>
    </row>
    <row r="476">
      <c r="B476" s="37"/>
    </row>
    <row r="477">
      <c r="B477" s="37"/>
    </row>
    <row r="478">
      <c r="B478" s="37"/>
    </row>
    <row r="479">
      <c r="B479" s="37"/>
    </row>
    <row r="480">
      <c r="B480" s="37"/>
    </row>
    <row r="481">
      <c r="B481" s="37"/>
    </row>
    <row r="482">
      <c r="B482" s="37"/>
    </row>
    <row r="483">
      <c r="B483" s="37"/>
    </row>
    <row r="484">
      <c r="B484" s="37"/>
    </row>
    <row r="485">
      <c r="B485" s="37"/>
    </row>
    <row r="486">
      <c r="B486" s="37"/>
    </row>
    <row r="487">
      <c r="B487" s="37"/>
    </row>
    <row r="488">
      <c r="B488" s="37"/>
    </row>
    <row r="489">
      <c r="B489" s="37"/>
    </row>
    <row r="490">
      <c r="B490" s="37"/>
    </row>
    <row r="491">
      <c r="B491" s="37"/>
    </row>
    <row r="492">
      <c r="B492" s="37"/>
    </row>
    <row r="493">
      <c r="B493" s="37"/>
    </row>
    <row r="494">
      <c r="B494" s="37"/>
    </row>
    <row r="495">
      <c r="B495" s="37"/>
    </row>
    <row r="496">
      <c r="B496" s="37"/>
    </row>
    <row r="497">
      <c r="B497" s="37"/>
    </row>
    <row r="498">
      <c r="B498" s="37"/>
    </row>
    <row r="499">
      <c r="B499" s="37"/>
    </row>
    <row r="500">
      <c r="B500" s="37"/>
    </row>
    <row r="501">
      <c r="B501" s="37"/>
    </row>
    <row r="502">
      <c r="B502" s="37"/>
    </row>
    <row r="503">
      <c r="B503" s="37"/>
    </row>
    <row r="504">
      <c r="B504" s="37"/>
    </row>
    <row r="505">
      <c r="B505" s="37"/>
    </row>
    <row r="506">
      <c r="B506" s="37"/>
    </row>
    <row r="507">
      <c r="B507" s="37"/>
    </row>
    <row r="508">
      <c r="B508" s="37"/>
    </row>
    <row r="509">
      <c r="B509" s="37"/>
    </row>
    <row r="510">
      <c r="B510" s="37"/>
    </row>
    <row r="511">
      <c r="B511" s="37"/>
    </row>
    <row r="512">
      <c r="B512" s="37"/>
    </row>
    <row r="513">
      <c r="B513" s="37"/>
    </row>
    <row r="514">
      <c r="B514" s="37"/>
    </row>
    <row r="515">
      <c r="B515" s="37"/>
    </row>
    <row r="516">
      <c r="B516" s="37"/>
    </row>
    <row r="517">
      <c r="B517" s="37"/>
    </row>
    <row r="518">
      <c r="B518" s="37"/>
    </row>
    <row r="519">
      <c r="B519" s="37"/>
    </row>
    <row r="520">
      <c r="B520" s="37"/>
    </row>
    <row r="521">
      <c r="B521" s="37"/>
    </row>
    <row r="522">
      <c r="B522" s="37"/>
    </row>
    <row r="523">
      <c r="B523" s="37"/>
    </row>
    <row r="524">
      <c r="B524" s="37"/>
    </row>
    <row r="525">
      <c r="B525" s="37"/>
    </row>
    <row r="526">
      <c r="B526" s="37"/>
    </row>
    <row r="527">
      <c r="B527" s="37"/>
    </row>
    <row r="528">
      <c r="B528" s="37"/>
    </row>
    <row r="529">
      <c r="B529" s="37"/>
    </row>
    <row r="530">
      <c r="B530" s="37"/>
    </row>
    <row r="531">
      <c r="B531" s="37"/>
    </row>
    <row r="532">
      <c r="B532" s="37"/>
    </row>
    <row r="533">
      <c r="B533" s="37"/>
    </row>
    <row r="534">
      <c r="B534" s="37"/>
    </row>
    <row r="535">
      <c r="B535" s="37"/>
    </row>
    <row r="536">
      <c r="B536" s="37"/>
    </row>
    <row r="537">
      <c r="B537" s="37"/>
    </row>
    <row r="538">
      <c r="B538" s="37"/>
    </row>
    <row r="539">
      <c r="B539" s="37"/>
    </row>
    <row r="540">
      <c r="B540" s="37"/>
    </row>
    <row r="541">
      <c r="B541" s="37"/>
    </row>
    <row r="542">
      <c r="B542" s="37"/>
    </row>
    <row r="543">
      <c r="B543" s="37"/>
    </row>
    <row r="544">
      <c r="B544" s="37"/>
    </row>
    <row r="545">
      <c r="B545" s="37"/>
    </row>
    <row r="546">
      <c r="B546" s="37"/>
    </row>
    <row r="547">
      <c r="B547" s="37"/>
    </row>
    <row r="548">
      <c r="B548" s="37"/>
    </row>
    <row r="549">
      <c r="B549" s="37"/>
    </row>
    <row r="550">
      <c r="B550" s="37"/>
    </row>
    <row r="551">
      <c r="B551" s="37"/>
    </row>
    <row r="552">
      <c r="B552" s="37"/>
    </row>
    <row r="553">
      <c r="B553" s="37"/>
    </row>
    <row r="554">
      <c r="B554" s="37"/>
    </row>
    <row r="555">
      <c r="B555" s="37"/>
    </row>
    <row r="556">
      <c r="B556" s="37"/>
    </row>
    <row r="557">
      <c r="B557" s="37"/>
    </row>
    <row r="558">
      <c r="B558" s="37"/>
    </row>
    <row r="559">
      <c r="B559" s="37"/>
    </row>
    <row r="560">
      <c r="B560" s="37"/>
    </row>
    <row r="561">
      <c r="B561" s="37"/>
    </row>
    <row r="562">
      <c r="B562" s="37"/>
    </row>
    <row r="563">
      <c r="B563" s="37"/>
    </row>
    <row r="564">
      <c r="B564" s="37"/>
    </row>
    <row r="565">
      <c r="B565" s="37"/>
    </row>
    <row r="566">
      <c r="B566" s="37"/>
    </row>
    <row r="567">
      <c r="B567" s="37"/>
    </row>
    <row r="568">
      <c r="B568" s="37"/>
    </row>
    <row r="569">
      <c r="B569" s="37"/>
    </row>
    <row r="570">
      <c r="B570" s="37"/>
    </row>
    <row r="571">
      <c r="B571" s="37"/>
    </row>
    <row r="572">
      <c r="B572" s="37"/>
    </row>
    <row r="573">
      <c r="B573" s="37"/>
    </row>
    <row r="574">
      <c r="B574" s="37"/>
    </row>
    <row r="575">
      <c r="B575" s="37"/>
    </row>
    <row r="576">
      <c r="B576" s="37"/>
    </row>
    <row r="577">
      <c r="B577" s="37"/>
    </row>
    <row r="578">
      <c r="B578" s="37"/>
    </row>
    <row r="579">
      <c r="B579" s="37"/>
    </row>
    <row r="580">
      <c r="B580" s="37"/>
    </row>
    <row r="581">
      <c r="B581" s="37"/>
    </row>
    <row r="582">
      <c r="B582" s="37"/>
    </row>
    <row r="583">
      <c r="B583" s="37"/>
    </row>
    <row r="584">
      <c r="B584" s="37"/>
    </row>
    <row r="585">
      <c r="B585" s="37"/>
    </row>
    <row r="586">
      <c r="B586" s="37"/>
    </row>
    <row r="587">
      <c r="B587" s="37"/>
    </row>
    <row r="588">
      <c r="B588" s="37"/>
    </row>
    <row r="589">
      <c r="B589" s="37"/>
    </row>
    <row r="590">
      <c r="B590" s="37"/>
    </row>
    <row r="591">
      <c r="B591" s="37"/>
    </row>
    <row r="592">
      <c r="B592" s="37"/>
    </row>
    <row r="593">
      <c r="B593" s="37"/>
    </row>
    <row r="594">
      <c r="B594" s="37"/>
    </row>
    <row r="595">
      <c r="B595" s="37"/>
    </row>
    <row r="596">
      <c r="B596" s="37"/>
    </row>
    <row r="597">
      <c r="B597" s="37"/>
    </row>
    <row r="598">
      <c r="B598" s="37"/>
    </row>
    <row r="599">
      <c r="B599" s="37"/>
    </row>
    <row r="600">
      <c r="B600" s="37"/>
    </row>
    <row r="601">
      <c r="B601" s="37"/>
    </row>
    <row r="602">
      <c r="B602" s="37"/>
    </row>
    <row r="603">
      <c r="B603" s="37"/>
    </row>
    <row r="604">
      <c r="B604" s="37"/>
    </row>
    <row r="605">
      <c r="B605" s="37"/>
    </row>
    <row r="606">
      <c r="B606" s="37"/>
    </row>
    <row r="607">
      <c r="B607" s="37"/>
    </row>
    <row r="608">
      <c r="B608" s="37"/>
    </row>
    <row r="609">
      <c r="B609" s="37"/>
    </row>
    <row r="610">
      <c r="B610" s="37"/>
    </row>
    <row r="611">
      <c r="B611" s="37"/>
    </row>
    <row r="612">
      <c r="B612" s="37"/>
    </row>
    <row r="613">
      <c r="B613" s="37"/>
    </row>
    <row r="614">
      <c r="B614" s="37"/>
    </row>
    <row r="615">
      <c r="B615" s="37"/>
    </row>
    <row r="616">
      <c r="B616" s="37"/>
    </row>
    <row r="617">
      <c r="B617" s="37"/>
    </row>
    <row r="618">
      <c r="B618" s="37"/>
    </row>
    <row r="619">
      <c r="B619" s="37"/>
    </row>
    <row r="620">
      <c r="B620" s="37"/>
    </row>
    <row r="621">
      <c r="B621" s="37"/>
    </row>
    <row r="622">
      <c r="B622" s="37"/>
    </row>
    <row r="623">
      <c r="B623" s="37"/>
    </row>
    <row r="624">
      <c r="B624" s="37"/>
    </row>
    <row r="625">
      <c r="B625" s="37"/>
    </row>
    <row r="626">
      <c r="B626" s="37"/>
    </row>
    <row r="627">
      <c r="B627" s="37"/>
    </row>
    <row r="628">
      <c r="B628" s="37"/>
    </row>
    <row r="629">
      <c r="B629" s="37"/>
    </row>
    <row r="630">
      <c r="B630" s="37"/>
    </row>
    <row r="631">
      <c r="B631" s="37"/>
    </row>
    <row r="632">
      <c r="B632" s="37"/>
    </row>
    <row r="633">
      <c r="B633" s="37"/>
    </row>
    <row r="634">
      <c r="B634" s="37"/>
    </row>
    <row r="635">
      <c r="B635" s="37"/>
    </row>
    <row r="636">
      <c r="B636" s="37"/>
    </row>
    <row r="637">
      <c r="B637" s="37"/>
    </row>
    <row r="638">
      <c r="B638" s="37"/>
    </row>
    <row r="639">
      <c r="B639" s="37"/>
    </row>
    <row r="640">
      <c r="B640" s="37"/>
    </row>
    <row r="641">
      <c r="B641" s="37"/>
    </row>
    <row r="642">
      <c r="B642" s="37"/>
    </row>
    <row r="643">
      <c r="B643" s="37"/>
    </row>
    <row r="644">
      <c r="B644" s="37"/>
    </row>
    <row r="645">
      <c r="B645" s="37"/>
    </row>
    <row r="646">
      <c r="B646" s="37"/>
    </row>
    <row r="647">
      <c r="B647" s="37"/>
    </row>
    <row r="648">
      <c r="B648" s="37"/>
    </row>
    <row r="649">
      <c r="B649" s="37"/>
    </row>
    <row r="650">
      <c r="B650" s="37"/>
    </row>
    <row r="651">
      <c r="B651" s="37"/>
    </row>
    <row r="652">
      <c r="B652" s="37"/>
    </row>
    <row r="653">
      <c r="B653" s="37"/>
    </row>
    <row r="654">
      <c r="B654" s="37"/>
    </row>
    <row r="655">
      <c r="B655" s="37"/>
    </row>
    <row r="656">
      <c r="B656" s="37"/>
    </row>
    <row r="657">
      <c r="B657" s="37"/>
    </row>
    <row r="658">
      <c r="B658" s="37"/>
    </row>
    <row r="659">
      <c r="B659" s="37"/>
    </row>
    <row r="660">
      <c r="B660" s="37"/>
    </row>
    <row r="661">
      <c r="B661" s="37"/>
    </row>
    <row r="662">
      <c r="B662" s="37"/>
    </row>
    <row r="663">
      <c r="B663" s="37"/>
    </row>
    <row r="664">
      <c r="B664" s="37"/>
    </row>
    <row r="665">
      <c r="B665" s="37"/>
    </row>
    <row r="666">
      <c r="B666" s="37"/>
    </row>
    <row r="667">
      <c r="B667" s="37"/>
    </row>
    <row r="668">
      <c r="B668" s="37"/>
    </row>
    <row r="669">
      <c r="B669" s="37"/>
    </row>
    <row r="670">
      <c r="B670" s="37"/>
    </row>
    <row r="671">
      <c r="B671" s="37"/>
    </row>
    <row r="672">
      <c r="B672" s="37"/>
    </row>
    <row r="673">
      <c r="B673" s="37"/>
    </row>
    <row r="674">
      <c r="B674" s="37"/>
    </row>
    <row r="675">
      <c r="B675" s="37"/>
    </row>
    <row r="676">
      <c r="B676" s="37"/>
    </row>
    <row r="677">
      <c r="B677" s="37"/>
    </row>
    <row r="678">
      <c r="B678" s="37"/>
    </row>
    <row r="679">
      <c r="B679" s="37"/>
    </row>
    <row r="680">
      <c r="B680" s="37"/>
    </row>
    <row r="681">
      <c r="B681" s="37"/>
    </row>
    <row r="682">
      <c r="B682" s="37"/>
    </row>
    <row r="683">
      <c r="B683" s="37"/>
    </row>
    <row r="684">
      <c r="B684" s="37"/>
    </row>
    <row r="685">
      <c r="B685" s="37"/>
    </row>
    <row r="686">
      <c r="B686" s="37"/>
    </row>
    <row r="687">
      <c r="B687" s="37"/>
    </row>
    <row r="688">
      <c r="B688" s="37"/>
    </row>
    <row r="689">
      <c r="B689" s="37"/>
    </row>
    <row r="690">
      <c r="B690" s="37"/>
    </row>
    <row r="691">
      <c r="B691" s="37"/>
    </row>
    <row r="692">
      <c r="B692" s="37"/>
    </row>
    <row r="693">
      <c r="B693" s="37"/>
    </row>
    <row r="694">
      <c r="B694" s="37"/>
    </row>
    <row r="695">
      <c r="B695" s="37"/>
    </row>
    <row r="696">
      <c r="B696" s="37"/>
    </row>
    <row r="697">
      <c r="B697" s="37"/>
    </row>
    <row r="698">
      <c r="B698" s="37"/>
    </row>
    <row r="699">
      <c r="B699" s="37"/>
    </row>
    <row r="700">
      <c r="B700" s="37"/>
    </row>
    <row r="701">
      <c r="B701" s="37"/>
    </row>
    <row r="702">
      <c r="B702" s="37"/>
    </row>
    <row r="703">
      <c r="B703" s="37"/>
    </row>
    <row r="704">
      <c r="B704" s="37"/>
    </row>
    <row r="705">
      <c r="B705" s="37"/>
    </row>
    <row r="706">
      <c r="B706" s="37"/>
    </row>
    <row r="707">
      <c r="B707" s="37"/>
    </row>
    <row r="708">
      <c r="B708" s="37"/>
    </row>
    <row r="709">
      <c r="B709" s="37"/>
    </row>
    <row r="710">
      <c r="B710" s="37"/>
    </row>
    <row r="711">
      <c r="B711" s="37"/>
    </row>
    <row r="712">
      <c r="B712" s="37"/>
    </row>
    <row r="713">
      <c r="B713" s="37"/>
    </row>
    <row r="714">
      <c r="B714" s="37"/>
    </row>
    <row r="715">
      <c r="B715" s="37"/>
    </row>
    <row r="716">
      <c r="B716" s="37"/>
    </row>
    <row r="717">
      <c r="B717" s="37"/>
    </row>
    <row r="718">
      <c r="B718" s="37"/>
    </row>
    <row r="719">
      <c r="B719" s="37"/>
    </row>
    <row r="720">
      <c r="B720" s="37"/>
    </row>
    <row r="721">
      <c r="B721" s="37"/>
    </row>
    <row r="722">
      <c r="B722" s="37"/>
    </row>
    <row r="723">
      <c r="B723" s="37"/>
    </row>
    <row r="724">
      <c r="B724" s="37"/>
    </row>
    <row r="725">
      <c r="B725" s="37"/>
    </row>
    <row r="726">
      <c r="B726" s="37"/>
    </row>
    <row r="727">
      <c r="B727" s="37"/>
    </row>
    <row r="728">
      <c r="B728" s="37"/>
    </row>
    <row r="729">
      <c r="B729" s="37"/>
    </row>
    <row r="730">
      <c r="B730" s="37"/>
    </row>
    <row r="731">
      <c r="B731" s="37"/>
    </row>
    <row r="732">
      <c r="B732" s="37"/>
    </row>
    <row r="733">
      <c r="B733" s="37"/>
    </row>
    <row r="734">
      <c r="B734" s="37"/>
    </row>
    <row r="735">
      <c r="B735" s="37"/>
    </row>
    <row r="736">
      <c r="B736" s="37"/>
    </row>
    <row r="737">
      <c r="B737" s="37"/>
    </row>
    <row r="738">
      <c r="B738" s="37"/>
    </row>
    <row r="739">
      <c r="B739" s="37"/>
    </row>
    <row r="740">
      <c r="B740" s="37"/>
    </row>
    <row r="741">
      <c r="B741" s="37"/>
    </row>
    <row r="742">
      <c r="B742" s="37"/>
    </row>
    <row r="743">
      <c r="B743" s="37"/>
    </row>
    <row r="744">
      <c r="B744" s="37"/>
    </row>
    <row r="745">
      <c r="B745" s="37"/>
    </row>
    <row r="746">
      <c r="B746" s="37"/>
    </row>
    <row r="747">
      <c r="B747" s="37"/>
    </row>
    <row r="748">
      <c r="B748" s="37"/>
    </row>
    <row r="749">
      <c r="B749" s="37"/>
    </row>
    <row r="750">
      <c r="B750" s="37"/>
    </row>
    <row r="751">
      <c r="B751" s="37"/>
    </row>
    <row r="752">
      <c r="B752" s="37"/>
    </row>
    <row r="753">
      <c r="B753" s="37"/>
    </row>
    <row r="754">
      <c r="B754" s="37"/>
    </row>
    <row r="755">
      <c r="B755" s="37"/>
    </row>
    <row r="756">
      <c r="B756" s="37"/>
    </row>
    <row r="757">
      <c r="B757" s="37"/>
    </row>
    <row r="758">
      <c r="B758" s="37"/>
    </row>
    <row r="759">
      <c r="B759" s="37"/>
    </row>
    <row r="760">
      <c r="B760" s="37"/>
    </row>
    <row r="761">
      <c r="B761" s="37"/>
    </row>
    <row r="762">
      <c r="B762" s="37"/>
    </row>
    <row r="763">
      <c r="B763" s="37"/>
    </row>
    <row r="764">
      <c r="B764" s="37"/>
    </row>
    <row r="765">
      <c r="B765" s="37"/>
    </row>
    <row r="766">
      <c r="B766" s="37"/>
    </row>
    <row r="767">
      <c r="B767" s="37"/>
    </row>
    <row r="768">
      <c r="B768" s="37"/>
    </row>
    <row r="769">
      <c r="B769" s="37"/>
    </row>
    <row r="770">
      <c r="B770" s="37"/>
    </row>
    <row r="771">
      <c r="B771" s="37"/>
    </row>
    <row r="772">
      <c r="B772" s="37"/>
    </row>
    <row r="773">
      <c r="B773" s="37"/>
    </row>
    <row r="774">
      <c r="B774" s="37"/>
    </row>
    <row r="775">
      <c r="B775" s="37"/>
    </row>
    <row r="776">
      <c r="B776" s="37"/>
    </row>
    <row r="777">
      <c r="B777" s="37"/>
    </row>
    <row r="778">
      <c r="B778" s="37"/>
    </row>
    <row r="779">
      <c r="B779" s="37"/>
    </row>
    <row r="780">
      <c r="B780" s="37"/>
    </row>
    <row r="781">
      <c r="B781" s="37"/>
    </row>
    <row r="782">
      <c r="B782" s="37"/>
    </row>
    <row r="783">
      <c r="B783" s="37"/>
    </row>
    <row r="784">
      <c r="B784" s="37"/>
    </row>
    <row r="785">
      <c r="B785" s="37"/>
    </row>
    <row r="786">
      <c r="B786" s="37"/>
    </row>
    <row r="787">
      <c r="B787" s="37"/>
    </row>
    <row r="788">
      <c r="B788" s="37"/>
    </row>
    <row r="789">
      <c r="B789" s="37"/>
    </row>
    <row r="790">
      <c r="B790" s="37"/>
    </row>
    <row r="791">
      <c r="B791" s="37"/>
    </row>
    <row r="792">
      <c r="B792" s="37"/>
    </row>
    <row r="793">
      <c r="B793" s="37"/>
    </row>
    <row r="794">
      <c r="B794" s="37"/>
    </row>
    <row r="795">
      <c r="B795" s="37"/>
    </row>
    <row r="796">
      <c r="B796" s="37"/>
    </row>
    <row r="797">
      <c r="B797" s="37"/>
    </row>
    <row r="798">
      <c r="B798" s="37"/>
    </row>
    <row r="799">
      <c r="B799" s="37"/>
    </row>
    <row r="800">
      <c r="B800" s="37"/>
    </row>
    <row r="801">
      <c r="B801" s="37"/>
    </row>
    <row r="802">
      <c r="B802" s="37"/>
    </row>
    <row r="803">
      <c r="B803" s="37"/>
    </row>
    <row r="804">
      <c r="B804" s="37"/>
    </row>
    <row r="805">
      <c r="B805" s="37"/>
    </row>
    <row r="806">
      <c r="B806" s="37"/>
    </row>
    <row r="807">
      <c r="B807" s="37"/>
    </row>
    <row r="808">
      <c r="B808" s="37"/>
    </row>
    <row r="809">
      <c r="B809" s="37"/>
    </row>
    <row r="810">
      <c r="B810" s="37"/>
    </row>
    <row r="811">
      <c r="B811" s="37"/>
    </row>
    <row r="812">
      <c r="B812" s="37"/>
    </row>
    <row r="813">
      <c r="B813" s="37"/>
    </row>
    <row r="814">
      <c r="B814" s="37"/>
    </row>
    <row r="815">
      <c r="B815" s="37"/>
    </row>
    <row r="816">
      <c r="B816" s="37"/>
    </row>
    <row r="817">
      <c r="B817" s="37"/>
    </row>
    <row r="818">
      <c r="B818" s="37"/>
    </row>
    <row r="819">
      <c r="B819" s="37"/>
    </row>
    <row r="820">
      <c r="B820" s="37"/>
    </row>
    <row r="821">
      <c r="B821" s="37"/>
    </row>
    <row r="822">
      <c r="B822" s="37"/>
    </row>
    <row r="823">
      <c r="B823" s="37"/>
    </row>
    <row r="824">
      <c r="B824" s="37"/>
    </row>
    <row r="825">
      <c r="B825" s="37"/>
    </row>
    <row r="826">
      <c r="B826" s="37"/>
    </row>
    <row r="827">
      <c r="B827" s="37"/>
    </row>
    <row r="828">
      <c r="B828" s="37"/>
    </row>
    <row r="829">
      <c r="B829" s="37"/>
    </row>
    <row r="830">
      <c r="B830" s="37"/>
    </row>
    <row r="831">
      <c r="B831" s="37"/>
    </row>
    <row r="832">
      <c r="B832" s="37"/>
    </row>
    <row r="833">
      <c r="B833" s="37"/>
    </row>
    <row r="834">
      <c r="B834" s="37"/>
    </row>
    <row r="835">
      <c r="B835" s="37"/>
    </row>
    <row r="836">
      <c r="B836" s="37"/>
    </row>
    <row r="837">
      <c r="B837" s="37"/>
    </row>
    <row r="838">
      <c r="B838" s="37"/>
    </row>
    <row r="839">
      <c r="B839" s="37"/>
    </row>
    <row r="840">
      <c r="B840" s="37"/>
    </row>
    <row r="841">
      <c r="B841" s="37"/>
    </row>
    <row r="842">
      <c r="B842" s="37"/>
    </row>
    <row r="843">
      <c r="B843" s="37"/>
    </row>
    <row r="844">
      <c r="B844" s="37"/>
    </row>
    <row r="845">
      <c r="B845" s="37"/>
    </row>
    <row r="846">
      <c r="B846" s="37"/>
    </row>
    <row r="847">
      <c r="B847" s="37"/>
    </row>
    <row r="848">
      <c r="B848" s="37"/>
    </row>
    <row r="849">
      <c r="B849" s="37"/>
    </row>
    <row r="850">
      <c r="B850" s="37"/>
    </row>
    <row r="851">
      <c r="B851" s="37"/>
    </row>
    <row r="852">
      <c r="B852" s="37"/>
    </row>
    <row r="853">
      <c r="B853" s="37"/>
    </row>
    <row r="854">
      <c r="B854" s="37"/>
    </row>
    <row r="855">
      <c r="B855" s="37"/>
    </row>
    <row r="856">
      <c r="B856" s="37"/>
    </row>
    <row r="857">
      <c r="B857" s="37"/>
    </row>
    <row r="858">
      <c r="B858" s="37"/>
    </row>
    <row r="859">
      <c r="B859" s="37"/>
    </row>
    <row r="860">
      <c r="B860" s="37"/>
    </row>
    <row r="861">
      <c r="B861" s="37"/>
    </row>
    <row r="862">
      <c r="B862" s="37"/>
    </row>
    <row r="863">
      <c r="B863" s="37"/>
    </row>
    <row r="864">
      <c r="B864" s="37"/>
    </row>
    <row r="865">
      <c r="B865" s="37"/>
    </row>
    <row r="866">
      <c r="B866" s="37"/>
    </row>
    <row r="867">
      <c r="B867" s="37"/>
    </row>
    <row r="868">
      <c r="B868" s="37"/>
    </row>
    <row r="869">
      <c r="B869" s="37"/>
    </row>
    <row r="870">
      <c r="B870" s="37"/>
    </row>
    <row r="871">
      <c r="B871" s="37"/>
    </row>
    <row r="872">
      <c r="B872" s="37"/>
    </row>
    <row r="873">
      <c r="B873" s="37"/>
    </row>
    <row r="874">
      <c r="B874" s="37"/>
    </row>
    <row r="875">
      <c r="B875" s="37"/>
    </row>
    <row r="876">
      <c r="B876" s="37"/>
    </row>
    <row r="877">
      <c r="B877" s="37"/>
    </row>
    <row r="878">
      <c r="B878" s="37"/>
    </row>
    <row r="879">
      <c r="B879" s="37"/>
    </row>
    <row r="880">
      <c r="B880" s="37"/>
    </row>
    <row r="881">
      <c r="B881" s="37"/>
    </row>
    <row r="882">
      <c r="B882" s="37"/>
    </row>
    <row r="883">
      <c r="B883" s="37"/>
    </row>
    <row r="884">
      <c r="B884" s="37"/>
    </row>
    <row r="885">
      <c r="B885" s="37"/>
    </row>
    <row r="886">
      <c r="B886" s="37"/>
    </row>
    <row r="887">
      <c r="B887" s="37"/>
    </row>
    <row r="888">
      <c r="B888" s="37"/>
    </row>
    <row r="889">
      <c r="B889" s="37"/>
    </row>
    <row r="890">
      <c r="B890" s="37"/>
    </row>
    <row r="891">
      <c r="B891" s="37"/>
    </row>
    <row r="892">
      <c r="B892" s="37"/>
    </row>
    <row r="893">
      <c r="B893" s="37"/>
    </row>
    <row r="894">
      <c r="B894" s="37"/>
    </row>
    <row r="895">
      <c r="B895" s="37"/>
    </row>
    <row r="896">
      <c r="B896" s="37"/>
    </row>
    <row r="897">
      <c r="B897" s="37"/>
    </row>
    <row r="898">
      <c r="B898" s="37"/>
    </row>
    <row r="899">
      <c r="B899" s="37"/>
    </row>
    <row r="900">
      <c r="B900" s="37"/>
    </row>
    <row r="901">
      <c r="B901" s="37"/>
    </row>
    <row r="902">
      <c r="B902" s="37"/>
    </row>
    <row r="903">
      <c r="B903" s="37"/>
    </row>
    <row r="904">
      <c r="B904" s="37"/>
    </row>
    <row r="905">
      <c r="B905" s="37"/>
    </row>
    <row r="906">
      <c r="B906" s="37"/>
    </row>
    <row r="907">
      <c r="B907" s="37"/>
    </row>
    <row r="908">
      <c r="B908" s="37"/>
    </row>
    <row r="909">
      <c r="B909" s="37"/>
    </row>
    <row r="910">
      <c r="B910" s="37"/>
    </row>
    <row r="911">
      <c r="B911" s="37"/>
    </row>
    <row r="912">
      <c r="B912" s="37"/>
    </row>
    <row r="913">
      <c r="B913" s="37"/>
    </row>
    <row r="914">
      <c r="B914" s="37"/>
    </row>
    <row r="915">
      <c r="B915" s="37"/>
    </row>
    <row r="916">
      <c r="B916" s="37"/>
    </row>
    <row r="917">
      <c r="B917" s="37"/>
    </row>
    <row r="918">
      <c r="B918" s="37"/>
    </row>
    <row r="919">
      <c r="B919" s="37"/>
    </row>
    <row r="920">
      <c r="B920" s="37"/>
    </row>
    <row r="921">
      <c r="B921" s="37"/>
    </row>
    <row r="922">
      <c r="B922" s="37"/>
    </row>
    <row r="923">
      <c r="B923" s="37"/>
    </row>
    <row r="924">
      <c r="B924" s="37"/>
    </row>
    <row r="925">
      <c r="B925" s="37"/>
    </row>
    <row r="926">
      <c r="B926" s="37"/>
    </row>
    <row r="927">
      <c r="B927" s="37"/>
    </row>
    <row r="928">
      <c r="B928" s="37"/>
    </row>
    <row r="929">
      <c r="B929" s="37"/>
    </row>
    <row r="930">
      <c r="B930" s="37"/>
    </row>
    <row r="931">
      <c r="B931" s="37"/>
    </row>
    <row r="932">
      <c r="B932" s="37"/>
    </row>
    <row r="933">
      <c r="B933" s="37"/>
    </row>
    <row r="934">
      <c r="B934" s="37"/>
    </row>
    <row r="935">
      <c r="B935" s="37"/>
    </row>
    <row r="936">
      <c r="B936" s="37"/>
    </row>
    <row r="937">
      <c r="B937" s="37"/>
    </row>
    <row r="938">
      <c r="B938" s="37"/>
    </row>
    <row r="939">
      <c r="B939" s="37"/>
    </row>
    <row r="940">
      <c r="B940" s="37"/>
    </row>
    <row r="941">
      <c r="B941" s="37"/>
    </row>
    <row r="942">
      <c r="B942" s="37"/>
    </row>
    <row r="943">
      <c r="B943" s="37"/>
    </row>
    <row r="944">
      <c r="B944" s="37"/>
    </row>
    <row r="945">
      <c r="B945" s="37"/>
    </row>
    <row r="946">
      <c r="B946" s="37"/>
    </row>
    <row r="947">
      <c r="B947" s="37"/>
    </row>
    <row r="948">
      <c r="B948" s="37"/>
    </row>
    <row r="949">
      <c r="B949" s="37"/>
    </row>
    <row r="950">
      <c r="B950" s="37"/>
    </row>
    <row r="951">
      <c r="B951" s="37"/>
    </row>
    <row r="952">
      <c r="B952" s="37"/>
    </row>
    <row r="953">
      <c r="B953" s="37"/>
    </row>
    <row r="954">
      <c r="B954" s="37"/>
    </row>
    <row r="955">
      <c r="B955" s="37"/>
    </row>
    <row r="956">
      <c r="B956" s="37"/>
    </row>
    <row r="957">
      <c r="B957" s="37"/>
    </row>
    <row r="958">
      <c r="B958" s="37"/>
    </row>
    <row r="959">
      <c r="B959" s="37"/>
    </row>
    <row r="960">
      <c r="B960" s="37"/>
    </row>
    <row r="961">
      <c r="B961" s="37"/>
    </row>
    <row r="962">
      <c r="B962" s="37"/>
    </row>
    <row r="963">
      <c r="B963" s="37"/>
    </row>
    <row r="964">
      <c r="B964" s="37"/>
    </row>
    <row r="965">
      <c r="B965" s="37"/>
    </row>
    <row r="966">
      <c r="B966" s="37"/>
    </row>
    <row r="967">
      <c r="B967" s="37"/>
    </row>
    <row r="968">
      <c r="B968" s="37"/>
    </row>
    <row r="969">
      <c r="B969" s="37"/>
    </row>
    <row r="970">
      <c r="B970" s="37"/>
    </row>
    <row r="971">
      <c r="B971" s="37"/>
    </row>
    <row r="972">
      <c r="B972" s="37"/>
    </row>
    <row r="973">
      <c r="B973" s="37"/>
    </row>
    <row r="974">
      <c r="B974" s="37"/>
    </row>
    <row r="975">
      <c r="B975" s="37"/>
    </row>
    <row r="976">
      <c r="B976" s="37"/>
    </row>
    <row r="977">
      <c r="B977" s="37"/>
    </row>
    <row r="978">
      <c r="B978" s="37"/>
    </row>
    <row r="979">
      <c r="B979" s="37"/>
    </row>
    <row r="980">
      <c r="B980" s="37"/>
    </row>
    <row r="981">
      <c r="B981" s="37"/>
    </row>
    <row r="982">
      <c r="B982" s="37"/>
    </row>
    <row r="983">
      <c r="B983" s="37"/>
    </row>
    <row r="984">
      <c r="B984" s="37"/>
    </row>
    <row r="985">
      <c r="B985" s="37"/>
    </row>
    <row r="986">
      <c r="B986" s="37"/>
    </row>
    <row r="987">
      <c r="B987" s="37"/>
    </row>
    <row r="988">
      <c r="B988" s="37"/>
    </row>
    <row r="989">
      <c r="B989" s="37"/>
    </row>
    <row r="990">
      <c r="B990" s="37"/>
    </row>
    <row r="991">
      <c r="B991" s="37"/>
    </row>
    <row r="992">
      <c r="B992" s="37"/>
    </row>
    <row r="993">
      <c r="B993" s="37"/>
    </row>
    <row r="994">
      <c r="B994" s="37"/>
    </row>
    <row r="995">
      <c r="B995" s="37"/>
    </row>
  </sheetData>
  <mergeCells count="17">
    <mergeCell ref="B1:D1"/>
    <mergeCell ref="F1:H1"/>
    <mergeCell ref="B9:D9"/>
    <mergeCell ref="B10:D10"/>
    <mergeCell ref="F10:H10"/>
    <mergeCell ref="J12:L12"/>
    <mergeCell ref="B19:D19"/>
    <mergeCell ref="F50:H50"/>
    <mergeCell ref="B51:D51"/>
    <mergeCell ref="F51:H51"/>
    <mergeCell ref="F19:H19"/>
    <mergeCell ref="J21:L21"/>
    <mergeCell ref="K24:M24"/>
    <mergeCell ref="F29:H29"/>
    <mergeCell ref="B30:D30"/>
    <mergeCell ref="B41:D41"/>
    <mergeCell ref="F41:H4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4.13"/>
    <col customWidth="1" min="6" max="6" width="20.13"/>
    <col customWidth="1" min="10" max="10" width="23.88"/>
  </cols>
  <sheetData>
    <row r="1" ht="15.75" customHeight="1">
      <c r="B1" s="1" t="s">
        <v>0</v>
      </c>
      <c r="C1" s="2"/>
      <c r="D1" s="3"/>
      <c r="F1" s="4" t="s">
        <v>1</v>
      </c>
      <c r="G1" s="2"/>
      <c r="H1" s="3"/>
      <c r="J1" s="10" t="s">
        <v>4</v>
      </c>
      <c r="K1" s="5"/>
      <c r="L1" s="5"/>
    </row>
    <row r="2">
      <c r="B2" s="6" t="s">
        <v>2</v>
      </c>
      <c r="C2" s="7" t="s">
        <v>3</v>
      </c>
      <c r="D2" s="8"/>
      <c r="F2" s="9" t="s">
        <v>2</v>
      </c>
      <c r="G2" s="11" t="s">
        <v>3</v>
      </c>
      <c r="H2" s="12"/>
      <c r="J2" s="20">
        <f>SUM(C8,G8,G17,C17,C27,G27,C37,G35,K4,K18,K9,C47,G47,C57,G58)</f>
        <v>6144.38</v>
      </c>
      <c r="K2" s="13"/>
      <c r="L2" s="14"/>
    </row>
    <row r="3">
      <c r="B3" s="15" t="s">
        <v>5</v>
      </c>
      <c r="C3" s="7">
        <f>505.85+38.16+184.95</f>
        <v>728.96</v>
      </c>
      <c r="D3" s="16" t="b">
        <v>1</v>
      </c>
      <c r="F3" s="17"/>
      <c r="G3" s="18"/>
      <c r="H3" s="19"/>
      <c r="J3" s="13"/>
      <c r="K3" s="13"/>
      <c r="L3" s="14"/>
    </row>
    <row r="4">
      <c r="B4" s="15" t="s">
        <v>6</v>
      </c>
      <c r="C4" s="7">
        <f>286.96+123.76</f>
        <v>410.72</v>
      </c>
      <c r="D4" s="21" t="b">
        <v>1</v>
      </c>
      <c r="F4" s="22" t="s">
        <v>5</v>
      </c>
      <c r="G4" s="23">
        <v>36.6</v>
      </c>
      <c r="H4" s="16" t="b">
        <v>1</v>
      </c>
      <c r="J4" s="24"/>
      <c r="K4" s="25"/>
      <c r="L4" s="26"/>
    </row>
    <row r="5">
      <c r="B5" s="15" t="s">
        <v>14</v>
      </c>
      <c r="C5" s="7">
        <f>74</f>
        <v>74</v>
      </c>
      <c r="D5" s="21" t="b">
        <v>1</v>
      </c>
      <c r="F5" s="22" t="s">
        <v>6</v>
      </c>
      <c r="G5" s="23"/>
      <c r="H5" s="16" t="b">
        <v>0</v>
      </c>
      <c r="J5" s="24"/>
      <c r="K5" s="25"/>
      <c r="L5" s="26"/>
    </row>
    <row r="6">
      <c r="A6" s="27"/>
      <c r="B6" s="15" t="s">
        <v>16</v>
      </c>
      <c r="C6" s="23">
        <v>379.0</v>
      </c>
      <c r="D6" s="21" t="b">
        <v>1</v>
      </c>
      <c r="F6" s="15" t="s">
        <v>10</v>
      </c>
      <c r="G6" s="23">
        <v>30.0</v>
      </c>
      <c r="H6" s="16" t="b">
        <v>1</v>
      </c>
      <c r="J6" s="28"/>
      <c r="K6" s="25"/>
      <c r="L6" s="26"/>
    </row>
    <row r="7">
      <c r="B7" s="15" t="s">
        <v>17</v>
      </c>
      <c r="C7" s="23">
        <f>131.72+129.88</f>
        <v>261.6</v>
      </c>
      <c r="D7" s="29" t="b">
        <v>1</v>
      </c>
      <c r="F7" s="15" t="s">
        <v>11</v>
      </c>
      <c r="G7" s="23"/>
      <c r="H7" s="16" t="b">
        <v>0</v>
      </c>
      <c r="J7" s="28"/>
      <c r="K7" s="25"/>
      <c r="L7" s="26"/>
    </row>
    <row r="8">
      <c r="B8" s="30" t="s">
        <v>13</v>
      </c>
      <c r="C8" s="31">
        <f>SUM(C3:C7)</f>
        <v>1854.28</v>
      </c>
      <c r="D8" s="32" t="b">
        <v>1</v>
      </c>
      <c r="F8" s="30" t="s">
        <v>13</v>
      </c>
      <c r="G8" s="33">
        <f>SUM(G4:G7)</f>
        <v>66.6</v>
      </c>
      <c r="H8" s="34" t="b">
        <v>1</v>
      </c>
      <c r="J8" s="35"/>
      <c r="K8" s="36"/>
      <c r="L8" s="26"/>
    </row>
    <row r="9">
      <c r="B9" s="37"/>
      <c r="J9" s="35"/>
      <c r="K9" s="36"/>
      <c r="L9" s="36"/>
    </row>
    <row r="10">
      <c r="B10" s="1" t="s">
        <v>18</v>
      </c>
      <c r="C10" s="2"/>
      <c r="D10" s="3"/>
      <c r="F10" s="4" t="s">
        <v>19</v>
      </c>
      <c r="G10" s="2"/>
      <c r="H10" s="3"/>
    </row>
    <row r="11">
      <c r="B11" s="38" t="s">
        <v>2</v>
      </c>
      <c r="C11" s="39" t="s">
        <v>3</v>
      </c>
      <c r="D11" s="40"/>
      <c r="F11" s="9" t="s">
        <v>2</v>
      </c>
      <c r="G11" s="11" t="s">
        <v>3</v>
      </c>
      <c r="H11" s="12"/>
    </row>
    <row r="12">
      <c r="B12" s="41" t="s">
        <v>20</v>
      </c>
      <c r="C12" s="42">
        <v>210.97</v>
      </c>
      <c r="D12" s="43" t="b">
        <v>0</v>
      </c>
      <c r="F12" s="22" t="s">
        <v>5</v>
      </c>
      <c r="G12" s="23"/>
      <c r="H12" s="16" t="b">
        <v>0</v>
      </c>
      <c r="J12" s="44"/>
    </row>
    <row r="13">
      <c r="B13" s="45" t="s">
        <v>6</v>
      </c>
      <c r="C13" s="42"/>
      <c r="D13" s="43" t="b">
        <v>0</v>
      </c>
      <c r="F13" s="15" t="s">
        <v>28</v>
      </c>
      <c r="G13" s="23">
        <v>103.11</v>
      </c>
      <c r="H13" s="46" t="b">
        <v>1</v>
      </c>
      <c r="J13" s="47"/>
      <c r="K13" s="48"/>
      <c r="L13" s="49"/>
    </row>
    <row r="14">
      <c r="B14" s="45" t="s">
        <v>23</v>
      </c>
      <c r="C14" s="50">
        <v>88.88</v>
      </c>
      <c r="D14" s="43" t="b">
        <v>1</v>
      </c>
      <c r="F14" s="15"/>
      <c r="G14" s="23"/>
      <c r="H14" s="46" t="b">
        <v>0</v>
      </c>
      <c r="J14" s="51"/>
      <c r="K14" s="25"/>
      <c r="L14" s="52"/>
    </row>
    <row r="15">
      <c r="B15" s="45" t="s">
        <v>29</v>
      </c>
      <c r="C15" s="50">
        <v>221.44</v>
      </c>
      <c r="D15" s="43" t="b">
        <v>1</v>
      </c>
      <c r="F15" s="15"/>
      <c r="G15" s="23"/>
      <c r="H15" s="46" t="b">
        <v>0</v>
      </c>
      <c r="J15" s="51"/>
      <c r="K15" s="25"/>
      <c r="L15" s="52"/>
    </row>
    <row r="16">
      <c r="B16" s="45" t="s">
        <v>30</v>
      </c>
      <c r="C16" s="42">
        <v>284.91</v>
      </c>
      <c r="D16" s="43" t="b">
        <v>1</v>
      </c>
      <c r="F16" s="15"/>
      <c r="G16" s="23"/>
      <c r="H16" s="46" t="b">
        <v>0</v>
      </c>
      <c r="J16" s="28"/>
      <c r="K16" s="25"/>
      <c r="L16" s="52"/>
    </row>
    <row r="17">
      <c r="B17" s="53" t="s">
        <v>13</v>
      </c>
      <c r="C17" s="54">
        <f>SUM(C12:C16)</f>
        <v>806.2</v>
      </c>
      <c r="D17" s="55" t="b">
        <v>1</v>
      </c>
      <c r="F17" s="30" t="s">
        <v>13</v>
      </c>
      <c r="G17" s="33">
        <f>SUM(G12:G16)</f>
        <v>103.11</v>
      </c>
      <c r="H17" s="34" t="b">
        <v>1</v>
      </c>
      <c r="J17" s="51"/>
      <c r="K17" s="25"/>
      <c r="L17" s="56"/>
    </row>
    <row r="18">
      <c r="B18" s="37"/>
      <c r="J18" s="57"/>
      <c r="K18" s="58"/>
      <c r="L18" s="56"/>
    </row>
    <row r="19">
      <c r="B19" s="1" t="s">
        <v>31</v>
      </c>
      <c r="C19" s="2"/>
      <c r="D19" s="3"/>
      <c r="F19" s="4" t="s">
        <v>32</v>
      </c>
      <c r="G19" s="2"/>
      <c r="H19" s="3"/>
    </row>
    <row r="20">
      <c r="B20" s="6" t="s">
        <v>2</v>
      </c>
      <c r="C20" s="11" t="s">
        <v>3</v>
      </c>
      <c r="D20" s="8"/>
      <c r="F20" s="9" t="s">
        <v>2</v>
      </c>
      <c r="G20" s="11" t="s">
        <v>3</v>
      </c>
      <c r="H20" s="12"/>
    </row>
    <row r="21">
      <c r="B21" s="15" t="s">
        <v>33</v>
      </c>
      <c r="C21" s="23">
        <v>40.0</v>
      </c>
      <c r="D21" s="16" t="b">
        <v>1</v>
      </c>
      <c r="F21" s="22" t="s">
        <v>5</v>
      </c>
      <c r="G21" s="23">
        <f>19.94+14.94+10.94+35.63+18.98+16.98+17.97+17.93+20.94+16.93+18.98+10.35+19.94+10.35</f>
        <v>250.8</v>
      </c>
      <c r="H21" s="16" t="b">
        <v>1</v>
      </c>
      <c r="J21" s="5"/>
    </row>
    <row r="22">
      <c r="B22" s="15" t="s">
        <v>34</v>
      </c>
      <c r="C22" s="23"/>
      <c r="D22" s="16" t="b">
        <v>0</v>
      </c>
      <c r="F22" s="22" t="s">
        <v>6</v>
      </c>
      <c r="G22" s="23"/>
      <c r="H22" s="16" t="b">
        <v>0</v>
      </c>
      <c r="J22" s="13"/>
      <c r="K22" s="13"/>
      <c r="L22" s="14"/>
    </row>
    <row r="23">
      <c r="B23" s="15" t="s">
        <v>47</v>
      </c>
      <c r="C23" s="23">
        <v>461.42</v>
      </c>
      <c r="D23" s="16" t="b">
        <v>1</v>
      </c>
      <c r="F23" s="15" t="s">
        <v>37</v>
      </c>
      <c r="G23" s="23">
        <v>60.0</v>
      </c>
      <c r="H23" s="16" t="b">
        <v>1</v>
      </c>
      <c r="J23" s="24"/>
      <c r="K23" s="25"/>
      <c r="L23" s="26"/>
    </row>
    <row r="24">
      <c r="B24" s="15" t="s">
        <v>49</v>
      </c>
      <c r="C24" s="23">
        <v>254.77</v>
      </c>
      <c r="D24" s="16" t="b">
        <v>1</v>
      </c>
      <c r="F24" s="15"/>
      <c r="G24" s="23"/>
      <c r="H24" s="16" t="b">
        <v>0</v>
      </c>
      <c r="J24" s="35"/>
      <c r="K24" s="36"/>
      <c r="L24" s="36"/>
    </row>
    <row r="25">
      <c r="B25" s="15" t="s">
        <v>50</v>
      </c>
      <c r="C25" s="23">
        <v>99.7</v>
      </c>
      <c r="D25" s="16" t="b">
        <v>1</v>
      </c>
      <c r="F25" s="15"/>
      <c r="G25" s="23"/>
      <c r="H25" s="16" t="b">
        <v>0</v>
      </c>
    </row>
    <row r="26">
      <c r="B26" s="15" t="s">
        <v>43</v>
      </c>
      <c r="C26" s="23"/>
      <c r="D26" s="16" t="b">
        <v>0</v>
      </c>
      <c r="F26" s="15"/>
      <c r="G26" s="23"/>
      <c r="H26" s="16" t="b">
        <v>0</v>
      </c>
    </row>
    <row r="27">
      <c r="B27" s="30" t="s">
        <v>13</v>
      </c>
      <c r="C27" s="31">
        <f>SUM(C21:C26)</f>
        <v>855.89</v>
      </c>
      <c r="D27" s="34" t="b">
        <v>1</v>
      </c>
      <c r="F27" s="30" t="s">
        <v>13</v>
      </c>
      <c r="G27" s="33">
        <f>SUM(G21:G26)</f>
        <v>310.8</v>
      </c>
      <c r="H27" s="34" t="b">
        <v>0</v>
      </c>
    </row>
    <row r="28">
      <c r="B28" s="37"/>
    </row>
    <row r="29">
      <c r="B29" s="1" t="s">
        <v>40</v>
      </c>
      <c r="C29" s="2"/>
      <c r="D29" s="3"/>
      <c r="F29" s="4" t="s">
        <v>45</v>
      </c>
      <c r="G29" s="2"/>
      <c r="H29" s="3"/>
    </row>
    <row r="30">
      <c r="B30" s="6" t="s">
        <v>2</v>
      </c>
      <c r="C30" s="11" t="s">
        <v>3</v>
      </c>
      <c r="D30" s="8"/>
      <c r="F30" s="9" t="s">
        <v>2</v>
      </c>
      <c r="G30" s="11" t="s">
        <v>3</v>
      </c>
      <c r="H30" s="12"/>
      <c r="K30" s="61"/>
      <c r="L30" s="49"/>
    </row>
    <row r="31">
      <c r="B31" s="62" t="s">
        <v>58</v>
      </c>
      <c r="C31" s="7">
        <f>28.19+33.82+28.19+56.38+14.99+57.77+61.4</f>
        <v>280.74</v>
      </c>
      <c r="D31" s="16" t="b">
        <v>1</v>
      </c>
      <c r="F31" s="22" t="s">
        <v>5</v>
      </c>
      <c r="G31" s="23">
        <v>297.84</v>
      </c>
      <c r="H31" s="16" t="b">
        <v>1</v>
      </c>
      <c r="K31" s="61"/>
      <c r="L31" s="49"/>
    </row>
    <row r="32">
      <c r="B32" s="59" t="s">
        <v>20</v>
      </c>
      <c r="C32" s="7"/>
      <c r="D32" s="16" t="b">
        <v>0</v>
      </c>
      <c r="F32" s="17" t="s">
        <v>52</v>
      </c>
      <c r="G32" s="23"/>
      <c r="H32" s="16" t="b">
        <v>0</v>
      </c>
      <c r="K32" s="61"/>
      <c r="L32" s="49"/>
    </row>
    <row r="33">
      <c r="B33" s="15" t="s">
        <v>44</v>
      </c>
      <c r="C33" s="23">
        <v>4.5</v>
      </c>
      <c r="D33" s="16" t="b">
        <v>1</v>
      </c>
      <c r="F33" s="6" t="s">
        <v>59</v>
      </c>
      <c r="G33" s="23"/>
      <c r="H33" s="16" t="b">
        <v>0</v>
      </c>
      <c r="K33" s="61"/>
      <c r="L33" s="49"/>
    </row>
    <row r="34">
      <c r="B34" s="6" t="s">
        <v>63</v>
      </c>
      <c r="C34" s="7">
        <v>324.95</v>
      </c>
      <c r="D34" s="16" t="b">
        <v>1</v>
      </c>
      <c r="F34" s="6" t="s">
        <v>54</v>
      </c>
      <c r="G34" s="23"/>
      <c r="H34" s="16" t="b">
        <v>0</v>
      </c>
      <c r="K34" s="61"/>
      <c r="L34" s="49"/>
    </row>
    <row r="35">
      <c r="B35" s="6" t="s">
        <v>66</v>
      </c>
      <c r="C35" s="7">
        <v>144.5</v>
      </c>
      <c r="D35" s="16" t="b">
        <v>1</v>
      </c>
      <c r="F35" s="30" t="s">
        <v>13</v>
      </c>
      <c r="G35" s="33">
        <f>SUM(G31:G34)</f>
        <v>297.84</v>
      </c>
      <c r="H35" s="34" t="b">
        <v>1</v>
      </c>
      <c r="K35" s="61"/>
      <c r="L35" s="49"/>
    </row>
    <row r="36">
      <c r="B36" s="6" t="s">
        <v>71</v>
      </c>
      <c r="C36" s="23">
        <f>145.83*2</f>
        <v>291.66</v>
      </c>
      <c r="D36" s="16" t="b">
        <v>1</v>
      </c>
      <c r="K36" s="61"/>
      <c r="L36" s="49"/>
    </row>
    <row r="37">
      <c r="B37" s="30" t="s">
        <v>13</v>
      </c>
      <c r="C37" s="31">
        <f>SUM(C31:C36)</f>
        <v>1046.35</v>
      </c>
      <c r="D37" s="34" t="b">
        <v>1</v>
      </c>
      <c r="K37" s="61"/>
      <c r="L37" s="49"/>
    </row>
    <row r="38">
      <c r="K38" s="61"/>
      <c r="L38" s="49"/>
    </row>
    <row r="39">
      <c r="F39" s="60"/>
      <c r="G39" s="63"/>
      <c r="K39" s="49"/>
      <c r="L39" s="49"/>
    </row>
    <row r="40">
      <c r="B40" s="37"/>
      <c r="F40" s="60"/>
      <c r="G40" s="63"/>
      <c r="K40" s="49"/>
      <c r="L40" s="49"/>
    </row>
    <row r="41">
      <c r="B41" s="4" t="s">
        <v>60</v>
      </c>
      <c r="C41" s="2"/>
      <c r="D41" s="3"/>
      <c r="F41" s="4" t="s">
        <v>61</v>
      </c>
      <c r="G41" s="2"/>
      <c r="H41" s="3"/>
      <c r="K41" s="49"/>
      <c r="L41" s="49"/>
    </row>
    <row r="42">
      <c r="B42" s="9" t="s">
        <v>2</v>
      </c>
      <c r="C42" s="11" t="s">
        <v>3</v>
      </c>
      <c r="D42" s="12"/>
      <c r="F42" s="9" t="s">
        <v>2</v>
      </c>
      <c r="G42" s="11" t="s">
        <v>3</v>
      </c>
      <c r="H42" s="12"/>
      <c r="K42" s="61"/>
      <c r="L42" s="49"/>
    </row>
    <row r="43">
      <c r="B43" s="22" t="s">
        <v>5</v>
      </c>
      <c r="C43" s="23">
        <v>129.14</v>
      </c>
      <c r="D43" s="16" t="b">
        <v>1</v>
      </c>
      <c r="F43" s="22" t="s">
        <v>5</v>
      </c>
      <c r="G43" s="23">
        <f>23.98+22.72+23.21+23.75+20.26+20.25</f>
        <v>134.17</v>
      </c>
      <c r="H43" s="16" t="b">
        <v>1</v>
      </c>
      <c r="K43" s="49"/>
      <c r="L43" s="49"/>
    </row>
    <row r="44">
      <c r="B44" s="17" t="s">
        <v>64</v>
      </c>
      <c r="C44" s="23"/>
      <c r="D44" s="16" t="b">
        <v>0</v>
      </c>
      <c r="F44" s="17" t="s">
        <v>65</v>
      </c>
      <c r="G44" s="23">
        <v>0.0</v>
      </c>
      <c r="H44" s="16" t="b">
        <v>0</v>
      </c>
      <c r="K44" s="49"/>
      <c r="L44" s="66"/>
    </row>
    <row r="45">
      <c r="B45" s="15" t="s">
        <v>6</v>
      </c>
      <c r="C45" s="23"/>
      <c r="D45" s="16" t="b">
        <v>0</v>
      </c>
      <c r="F45" s="6" t="s">
        <v>68</v>
      </c>
      <c r="G45" s="23">
        <v>0.0</v>
      </c>
      <c r="H45" s="16" t="b">
        <v>0</v>
      </c>
      <c r="L45" s="25"/>
    </row>
    <row r="46">
      <c r="B46" s="6" t="s">
        <v>69</v>
      </c>
      <c r="C46" s="23"/>
      <c r="D46" s="16" t="b">
        <v>0</v>
      </c>
      <c r="F46" s="6"/>
      <c r="G46" s="23"/>
      <c r="H46" s="16" t="b">
        <v>0</v>
      </c>
      <c r="L46" s="25"/>
    </row>
    <row r="47">
      <c r="B47" s="64" t="s">
        <v>13</v>
      </c>
      <c r="C47" s="33">
        <f>SUM(C43:C46)</f>
        <v>129.14</v>
      </c>
      <c r="D47" s="34" t="b">
        <v>1</v>
      </c>
      <c r="F47" s="64" t="s">
        <v>13</v>
      </c>
      <c r="G47" s="33">
        <f>SUM(G43:G46)</f>
        <v>134.17</v>
      </c>
      <c r="H47" s="34" t="b">
        <v>1</v>
      </c>
      <c r="L47" s="25"/>
    </row>
    <row r="48">
      <c r="B48" s="37"/>
      <c r="L48" s="36"/>
    </row>
    <row r="49">
      <c r="B49" s="37"/>
    </row>
    <row r="50">
      <c r="B50" s="37"/>
      <c r="E50" s="49"/>
      <c r="F50" s="49"/>
    </row>
    <row r="51">
      <c r="B51" s="4" t="s">
        <v>72</v>
      </c>
      <c r="C51" s="2"/>
      <c r="D51" s="3"/>
      <c r="E51" s="49"/>
      <c r="F51" s="65" t="s">
        <v>73</v>
      </c>
      <c r="G51" s="2"/>
      <c r="H51" s="3"/>
    </row>
    <row r="52">
      <c r="B52" s="9" t="s">
        <v>2</v>
      </c>
      <c r="C52" s="11" t="s">
        <v>3</v>
      </c>
      <c r="D52" s="12"/>
      <c r="E52" s="49"/>
      <c r="F52" s="67" t="s">
        <v>2</v>
      </c>
      <c r="G52" s="68" t="s">
        <v>3</v>
      </c>
      <c r="H52" s="69"/>
    </row>
    <row r="53">
      <c r="B53" s="22" t="s">
        <v>78</v>
      </c>
      <c r="C53" s="23">
        <v>540.0</v>
      </c>
      <c r="D53" s="16" t="b">
        <v>1</v>
      </c>
      <c r="E53" s="49"/>
      <c r="F53" s="70" t="s">
        <v>75</v>
      </c>
      <c r="G53" s="71"/>
      <c r="H53" s="72" t="b">
        <v>0</v>
      </c>
    </row>
    <row r="54">
      <c r="B54" s="17" t="s">
        <v>6</v>
      </c>
      <c r="C54" s="23"/>
      <c r="D54" s="16" t="b">
        <v>0</v>
      </c>
      <c r="E54" s="49"/>
      <c r="F54" s="73"/>
      <c r="G54" s="74"/>
      <c r="H54" s="75" t="b">
        <v>0</v>
      </c>
    </row>
    <row r="55">
      <c r="B55" s="6"/>
      <c r="C55" s="23"/>
      <c r="D55" s="16" t="b">
        <v>0</v>
      </c>
      <c r="E55" s="49"/>
      <c r="F55" s="73"/>
      <c r="G55" s="76"/>
      <c r="H55" s="75" t="b">
        <v>0</v>
      </c>
    </row>
    <row r="56">
      <c r="B56" s="6"/>
      <c r="C56" s="23"/>
      <c r="D56" s="16" t="b">
        <v>0</v>
      </c>
      <c r="E56" s="49"/>
      <c r="F56" s="73"/>
      <c r="G56" s="76"/>
      <c r="H56" s="75" t="b">
        <v>0</v>
      </c>
    </row>
    <row r="57">
      <c r="B57" s="64" t="s">
        <v>13</v>
      </c>
      <c r="C57" s="33">
        <f>SUM(C53:C56)</f>
        <v>540</v>
      </c>
      <c r="D57" s="34" t="b">
        <v>1</v>
      </c>
      <c r="E57" s="49"/>
      <c r="F57" s="77"/>
      <c r="G57" s="78"/>
      <c r="H57" s="75" t="b">
        <v>0</v>
      </c>
    </row>
    <row r="58">
      <c r="B58" s="37"/>
      <c r="E58" s="49"/>
      <c r="F58" s="79" t="s">
        <v>13</v>
      </c>
      <c r="G58" s="80">
        <f>SUM(G53:G57)</f>
        <v>0</v>
      </c>
      <c r="H58" s="81" t="b">
        <v>0</v>
      </c>
    </row>
    <row r="59">
      <c r="B59" s="37"/>
    </row>
    <row r="60">
      <c r="B60" s="37"/>
    </row>
    <row r="61">
      <c r="B61" s="37"/>
    </row>
    <row r="62">
      <c r="B62" s="37"/>
    </row>
    <row r="63">
      <c r="B63" s="37"/>
    </row>
    <row r="64">
      <c r="B64" s="37"/>
    </row>
    <row r="65">
      <c r="B65" s="37"/>
    </row>
    <row r="66">
      <c r="B66" s="37"/>
    </row>
    <row r="67">
      <c r="B67" s="37"/>
    </row>
    <row r="68">
      <c r="B68" s="37"/>
    </row>
    <row r="69">
      <c r="B69" s="37"/>
    </row>
    <row r="70">
      <c r="B70" s="37"/>
    </row>
    <row r="71">
      <c r="B71" s="37"/>
    </row>
    <row r="72">
      <c r="B72" s="37"/>
    </row>
    <row r="73">
      <c r="B73" s="37"/>
    </row>
    <row r="74">
      <c r="B74" s="37"/>
    </row>
    <row r="75">
      <c r="B75" s="37"/>
    </row>
    <row r="76">
      <c r="B76" s="37"/>
    </row>
    <row r="77">
      <c r="B77" s="37"/>
    </row>
    <row r="78">
      <c r="B78" s="37"/>
    </row>
    <row r="79">
      <c r="B79" s="37"/>
    </row>
    <row r="80">
      <c r="B80" s="37"/>
    </row>
    <row r="81">
      <c r="B81" s="37"/>
    </row>
    <row r="82">
      <c r="B82" s="37"/>
    </row>
    <row r="83">
      <c r="B83" s="37"/>
    </row>
    <row r="84">
      <c r="B84" s="37"/>
    </row>
    <row r="85">
      <c r="B85" s="37"/>
    </row>
    <row r="86">
      <c r="B86" s="37"/>
    </row>
    <row r="87">
      <c r="B87" s="37"/>
    </row>
    <row r="88">
      <c r="B88" s="37"/>
    </row>
    <row r="89">
      <c r="B89" s="37"/>
    </row>
    <row r="90">
      <c r="B90" s="37"/>
    </row>
    <row r="91">
      <c r="B91" s="37"/>
    </row>
    <row r="92">
      <c r="B92" s="37"/>
    </row>
    <row r="93">
      <c r="B93" s="37"/>
    </row>
    <row r="94">
      <c r="B94" s="37"/>
    </row>
    <row r="95">
      <c r="B95" s="37"/>
    </row>
    <row r="96">
      <c r="B96" s="37"/>
    </row>
    <row r="97">
      <c r="B97" s="37"/>
    </row>
    <row r="98">
      <c r="B98" s="37"/>
    </row>
    <row r="99">
      <c r="B99" s="37"/>
    </row>
    <row r="100">
      <c r="B100" s="37"/>
    </row>
    <row r="101">
      <c r="B101" s="37"/>
    </row>
    <row r="102">
      <c r="B102" s="37"/>
    </row>
    <row r="103">
      <c r="B103" s="37"/>
    </row>
    <row r="104">
      <c r="B104" s="37"/>
    </row>
    <row r="105">
      <c r="B105" s="37"/>
    </row>
    <row r="106">
      <c r="B106" s="37"/>
    </row>
    <row r="107">
      <c r="B107" s="37"/>
    </row>
    <row r="108">
      <c r="B108" s="37"/>
    </row>
    <row r="109">
      <c r="B109" s="37"/>
    </row>
    <row r="110">
      <c r="B110" s="37"/>
    </row>
    <row r="111">
      <c r="B111" s="37"/>
    </row>
    <row r="112">
      <c r="B112" s="37"/>
    </row>
    <row r="113">
      <c r="B113" s="37"/>
    </row>
    <row r="114">
      <c r="B114" s="37"/>
    </row>
    <row r="115">
      <c r="B115" s="37"/>
    </row>
    <row r="116">
      <c r="B116" s="37"/>
    </row>
    <row r="117">
      <c r="B117" s="37"/>
    </row>
    <row r="118">
      <c r="B118" s="37"/>
    </row>
    <row r="119">
      <c r="B119" s="37"/>
    </row>
    <row r="120">
      <c r="B120" s="37"/>
    </row>
    <row r="121">
      <c r="B121" s="37"/>
    </row>
    <row r="122">
      <c r="B122" s="37"/>
    </row>
    <row r="123">
      <c r="B123" s="37"/>
    </row>
    <row r="124">
      <c r="B124" s="37"/>
    </row>
    <row r="125">
      <c r="B125" s="37"/>
    </row>
    <row r="126">
      <c r="B126" s="37"/>
    </row>
    <row r="127">
      <c r="B127" s="37"/>
    </row>
    <row r="128">
      <c r="B128" s="37"/>
    </row>
    <row r="129">
      <c r="B129" s="37"/>
    </row>
    <row r="130">
      <c r="B130" s="37"/>
    </row>
    <row r="131">
      <c r="B131" s="37"/>
    </row>
    <row r="132">
      <c r="B132" s="37"/>
    </row>
    <row r="133">
      <c r="B133" s="37"/>
    </row>
    <row r="134">
      <c r="B134" s="37"/>
    </row>
    <row r="135">
      <c r="B135" s="37"/>
    </row>
    <row r="136">
      <c r="B136" s="37"/>
    </row>
    <row r="137">
      <c r="B137" s="37"/>
    </row>
    <row r="138">
      <c r="B138" s="37"/>
    </row>
    <row r="139">
      <c r="B139" s="37"/>
    </row>
    <row r="140">
      <c r="B140" s="37"/>
    </row>
    <row r="141">
      <c r="B141" s="37"/>
    </row>
    <row r="142">
      <c r="B142" s="37"/>
    </row>
    <row r="143">
      <c r="B143" s="37"/>
    </row>
    <row r="144">
      <c r="B144" s="37"/>
    </row>
    <row r="145">
      <c r="B145" s="37"/>
    </row>
    <row r="146">
      <c r="B146" s="37"/>
    </row>
    <row r="147">
      <c r="B147" s="37"/>
    </row>
    <row r="148">
      <c r="B148" s="37"/>
    </row>
    <row r="149">
      <c r="B149" s="37"/>
    </row>
    <row r="150">
      <c r="B150" s="37"/>
    </row>
    <row r="151">
      <c r="B151" s="37"/>
    </row>
    <row r="152">
      <c r="B152" s="37"/>
    </row>
    <row r="153">
      <c r="B153" s="37"/>
    </row>
    <row r="154">
      <c r="B154" s="37"/>
    </row>
    <row r="155">
      <c r="B155" s="37"/>
    </row>
    <row r="156">
      <c r="B156" s="37"/>
    </row>
    <row r="157">
      <c r="B157" s="37"/>
    </row>
    <row r="158">
      <c r="B158" s="37"/>
    </row>
    <row r="159">
      <c r="B159" s="37"/>
    </row>
    <row r="160">
      <c r="B160" s="37"/>
    </row>
    <row r="161">
      <c r="B161" s="37"/>
    </row>
    <row r="162">
      <c r="B162" s="37"/>
    </row>
    <row r="163">
      <c r="B163" s="37"/>
    </row>
    <row r="164">
      <c r="B164" s="37"/>
    </row>
    <row r="165">
      <c r="B165" s="37"/>
    </row>
    <row r="166">
      <c r="B166" s="37"/>
    </row>
    <row r="167">
      <c r="B167" s="37"/>
    </row>
    <row r="168">
      <c r="B168" s="37"/>
    </row>
    <row r="169">
      <c r="B169" s="37"/>
    </row>
    <row r="170">
      <c r="B170" s="37"/>
    </row>
    <row r="171">
      <c r="B171" s="37"/>
    </row>
    <row r="172">
      <c r="B172" s="37"/>
    </row>
    <row r="173">
      <c r="B173" s="37"/>
    </row>
    <row r="174">
      <c r="B174" s="37"/>
    </row>
    <row r="175">
      <c r="B175" s="37"/>
    </row>
    <row r="176">
      <c r="B176" s="37"/>
    </row>
    <row r="177">
      <c r="B177" s="37"/>
    </row>
    <row r="178">
      <c r="B178" s="37"/>
    </row>
    <row r="179">
      <c r="B179" s="37"/>
    </row>
    <row r="180">
      <c r="B180" s="37"/>
    </row>
    <row r="181">
      <c r="B181" s="37"/>
    </row>
    <row r="182">
      <c r="B182" s="37"/>
    </row>
    <row r="183">
      <c r="B183" s="37"/>
    </row>
    <row r="184">
      <c r="B184" s="37"/>
    </row>
    <row r="185">
      <c r="B185" s="37"/>
    </row>
    <row r="186">
      <c r="B186" s="37"/>
    </row>
    <row r="187">
      <c r="B187" s="37"/>
    </row>
    <row r="188">
      <c r="B188" s="37"/>
    </row>
    <row r="189">
      <c r="B189" s="37"/>
    </row>
    <row r="190">
      <c r="B190" s="37"/>
    </row>
    <row r="191">
      <c r="B191" s="37"/>
    </row>
    <row r="192">
      <c r="B192" s="37"/>
    </row>
    <row r="193">
      <c r="B193" s="37"/>
    </row>
    <row r="194">
      <c r="B194" s="37"/>
    </row>
    <row r="195">
      <c r="B195" s="37"/>
    </row>
    <row r="196">
      <c r="B196" s="37"/>
    </row>
    <row r="197">
      <c r="B197" s="37"/>
    </row>
    <row r="198">
      <c r="B198" s="37"/>
    </row>
    <row r="199">
      <c r="B199" s="37"/>
    </row>
    <row r="200">
      <c r="B200" s="37"/>
    </row>
    <row r="201">
      <c r="B201" s="37"/>
    </row>
    <row r="202">
      <c r="B202" s="37"/>
    </row>
    <row r="203">
      <c r="B203" s="37"/>
    </row>
    <row r="204">
      <c r="B204" s="37"/>
    </row>
    <row r="205">
      <c r="B205" s="37"/>
    </row>
    <row r="206">
      <c r="B206" s="37"/>
    </row>
    <row r="207">
      <c r="B207" s="37"/>
    </row>
    <row r="208">
      <c r="B208" s="37"/>
    </row>
    <row r="209">
      <c r="B209" s="37"/>
    </row>
    <row r="210">
      <c r="B210" s="37"/>
    </row>
    <row r="211">
      <c r="B211" s="37"/>
    </row>
    <row r="212">
      <c r="B212" s="37"/>
    </row>
    <row r="213">
      <c r="B213" s="37"/>
    </row>
    <row r="214">
      <c r="B214" s="37"/>
    </row>
    <row r="215">
      <c r="B215" s="37"/>
    </row>
    <row r="216">
      <c r="B216" s="37"/>
    </row>
    <row r="217">
      <c r="B217" s="37"/>
    </row>
    <row r="218">
      <c r="B218" s="37"/>
    </row>
    <row r="219">
      <c r="B219" s="37"/>
    </row>
    <row r="220">
      <c r="B220" s="37"/>
    </row>
    <row r="221">
      <c r="B221" s="37"/>
    </row>
    <row r="222">
      <c r="B222" s="37"/>
    </row>
    <row r="223">
      <c r="B223" s="37"/>
    </row>
    <row r="224">
      <c r="B224" s="37"/>
    </row>
    <row r="225">
      <c r="B225" s="37"/>
    </row>
    <row r="226">
      <c r="B226" s="37"/>
    </row>
    <row r="227">
      <c r="B227" s="37"/>
    </row>
    <row r="228">
      <c r="B228" s="37"/>
    </row>
    <row r="229">
      <c r="B229" s="37"/>
    </row>
    <row r="230">
      <c r="B230" s="37"/>
    </row>
    <row r="231">
      <c r="B231" s="37"/>
    </row>
    <row r="232">
      <c r="B232" s="37"/>
    </row>
    <row r="233">
      <c r="B233" s="37"/>
    </row>
    <row r="234">
      <c r="B234" s="37"/>
    </row>
    <row r="235">
      <c r="B235" s="37"/>
    </row>
    <row r="236">
      <c r="B236" s="37"/>
    </row>
    <row r="237">
      <c r="B237" s="37"/>
    </row>
    <row r="238">
      <c r="B238" s="37"/>
    </row>
    <row r="239">
      <c r="B239" s="37"/>
    </row>
    <row r="240">
      <c r="B240" s="37"/>
    </row>
    <row r="241">
      <c r="B241" s="37"/>
    </row>
    <row r="242">
      <c r="B242" s="37"/>
    </row>
    <row r="243">
      <c r="B243" s="37"/>
    </row>
    <row r="244">
      <c r="B244" s="37"/>
    </row>
    <row r="245">
      <c r="B245" s="37"/>
    </row>
    <row r="246">
      <c r="B246" s="37"/>
    </row>
    <row r="247">
      <c r="B247" s="37"/>
    </row>
    <row r="248">
      <c r="B248" s="37"/>
    </row>
    <row r="249">
      <c r="B249" s="37"/>
    </row>
    <row r="250">
      <c r="B250" s="37"/>
    </row>
    <row r="251">
      <c r="B251" s="37"/>
    </row>
    <row r="252">
      <c r="B252" s="37"/>
    </row>
    <row r="253">
      <c r="B253" s="37"/>
    </row>
    <row r="254">
      <c r="B254" s="37"/>
    </row>
    <row r="255">
      <c r="B255" s="37"/>
    </row>
    <row r="256">
      <c r="B256" s="37"/>
    </row>
    <row r="257">
      <c r="B257" s="37"/>
    </row>
    <row r="258">
      <c r="B258" s="37"/>
    </row>
    <row r="259">
      <c r="B259" s="37"/>
    </row>
    <row r="260">
      <c r="B260" s="37"/>
    </row>
    <row r="261">
      <c r="B261" s="37"/>
    </row>
    <row r="262">
      <c r="B262" s="37"/>
    </row>
    <row r="263">
      <c r="B263" s="37"/>
    </row>
    <row r="264">
      <c r="B264" s="37"/>
    </row>
    <row r="265">
      <c r="B265" s="37"/>
    </row>
    <row r="266">
      <c r="B266" s="37"/>
    </row>
    <row r="267">
      <c r="B267" s="37"/>
    </row>
    <row r="268">
      <c r="B268" s="37"/>
    </row>
    <row r="269">
      <c r="B269" s="37"/>
    </row>
    <row r="270">
      <c r="B270" s="37"/>
    </row>
    <row r="271">
      <c r="B271" s="37"/>
    </row>
    <row r="272">
      <c r="B272" s="37"/>
    </row>
    <row r="273">
      <c r="B273" s="37"/>
    </row>
    <row r="274">
      <c r="B274" s="37"/>
    </row>
    <row r="275">
      <c r="B275" s="37"/>
    </row>
    <row r="276">
      <c r="B276" s="37"/>
    </row>
    <row r="277">
      <c r="B277" s="37"/>
    </row>
    <row r="278">
      <c r="B278" s="37"/>
    </row>
    <row r="279">
      <c r="B279" s="37"/>
    </row>
    <row r="280">
      <c r="B280" s="37"/>
    </row>
    <row r="281">
      <c r="B281" s="37"/>
    </row>
    <row r="282">
      <c r="B282" s="37"/>
    </row>
    <row r="283">
      <c r="B283" s="37"/>
    </row>
    <row r="284">
      <c r="B284" s="37"/>
    </row>
    <row r="285">
      <c r="B285" s="37"/>
    </row>
    <row r="286">
      <c r="B286" s="37"/>
    </row>
    <row r="287">
      <c r="B287" s="37"/>
    </row>
    <row r="288">
      <c r="B288" s="37"/>
    </row>
    <row r="289">
      <c r="B289" s="37"/>
    </row>
    <row r="290">
      <c r="B290" s="37"/>
    </row>
    <row r="291">
      <c r="B291" s="37"/>
    </row>
    <row r="292">
      <c r="B292" s="37"/>
    </row>
    <row r="293">
      <c r="B293" s="37"/>
    </row>
    <row r="294">
      <c r="B294" s="37"/>
    </row>
    <row r="295">
      <c r="B295" s="37"/>
    </row>
    <row r="296">
      <c r="B296" s="37"/>
    </row>
    <row r="297">
      <c r="B297" s="37"/>
    </row>
    <row r="298">
      <c r="B298" s="37"/>
    </row>
    <row r="299">
      <c r="B299" s="37"/>
    </row>
    <row r="300">
      <c r="B300" s="37"/>
    </row>
    <row r="301">
      <c r="B301" s="37"/>
    </row>
    <row r="302">
      <c r="B302" s="37"/>
    </row>
    <row r="303">
      <c r="B303" s="37"/>
    </row>
    <row r="304">
      <c r="B304" s="37"/>
    </row>
    <row r="305">
      <c r="B305" s="37"/>
    </row>
    <row r="306">
      <c r="B306" s="37"/>
    </row>
    <row r="307">
      <c r="B307" s="37"/>
    </row>
    <row r="308">
      <c r="B308" s="37"/>
    </row>
    <row r="309">
      <c r="B309" s="37"/>
    </row>
    <row r="310">
      <c r="B310" s="37"/>
    </row>
    <row r="311">
      <c r="B311" s="37"/>
    </row>
    <row r="312">
      <c r="B312" s="37"/>
    </row>
    <row r="313">
      <c r="B313" s="37"/>
    </row>
    <row r="314">
      <c r="B314" s="37"/>
    </row>
    <row r="315">
      <c r="B315" s="37"/>
    </row>
    <row r="316">
      <c r="B316" s="37"/>
    </row>
    <row r="317">
      <c r="B317" s="37"/>
    </row>
    <row r="318">
      <c r="B318" s="37"/>
    </row>
    <row r="319">
      <c r="B319" s="37"/>
    </row>
    <row r="320">
      <c r="B320" s="37"/>
    </row>
    <row r="321">
      <c r="B321" s="37"/>
    </row>
    <row r="322">
      <c r="B322" s="37"/>
    </row>
    <row r="323">
      <c r="B323" s="37"/>
    </row>
    <row r="324">
      <c r="B324" s="37"/>
    </row>
    <row r="325">
      <c r="B325" s="37"/>
    </row>
    <row r="326">
      <c r="B326" s="37"/>
    </row>
    <row r="327">
      <c r="B327" s="37"/>
    </row>
    <row r="328">
      <c r="B328" s="37"/>
    </row>
    <row r="329">
      <c r="B329" s="37"/>
    </row>
    <row r="330">
      <c r="B330" s="37"/>
    </row>
    <row r="331">
      <c r="B331" s="37"/>
    </row>
    <row r="332">
      <c r="B332" s="37"/>
    </row>
    <row r="333">
      <c r="B333" s="37"/>
    </row>
    <row r="334">
      <c r="B334" s="37"/>
    </row>
    <row r="335">
      <c r="B335" s="37"/>
    </row>
    <row r="336">
      <c r="B336" s="37"/>
    </row>
    <row r="337">
      <c r="B337" s="37"/>
    </row>
    <row r="338">
      <c r="B338" s="37"/>
    </row>
    <row r="339">
      <c r="B339" s="37"/>
    </row>
    <row r="340">
      <c r="B340" s="37"/>
    </row>
    <row r="341">
      <c r="B341" s="37"/>
    </row>
    <row r="342">
      <c r="B342" s="37"/>
    </row>
    <row r="343">
      <c r="B343" s="37"/>
    </row>
    <row r="344">
      <c r="B344" s="37"/>
    </row>
    <row r="345">
      <c r="B345" s="37"/>
    </row>
    <row r="346">
      <c r="B346" s="37"/>
    </row>
    <row r="347">
      <c r="B347" s="37"/>
    </row>
    <row r="348">
      <c r="B348" s="37"/>
    </row>
    <row r="349">
      <c r="B349" s="37"/>
    </row>
    <row r="350">
      <c r="B350" s="37"/>
    </row>
    <row r="351">
      <c r="B351" s="37"/>
    </row>
    <row r="352">
      <c r="B352" s="37"/>
    </row>
    <row r="353">
      <c r="B353" s="37"/>
    </row>
    <row r="354">
      <c r="B354" s="37"/>
    </row>
    <row r="355">
      <c r="B355" s="37"/>
    </row>
    <row r="356">
      <c r="B356" s="37"/>
    </row>
    <row r="357">
      <c r="B357" s="37"/>
    </row>
    <row r="358">
      <c r="B358" s="37"/>
    </row>
    <row r="359">
      <c r="B359" s="37"/>
    </row>
    <row r="360">
      <c r="B360" s="37"/>
    </row>
    <row r="361">
      <c r="B361" s="37"/>
    </row>
    <row r="362">
      <c r="B362" s="37"/>
    </row>
    <row r="363">
      <c r="B363" s="37"/>
    </row>
    <row r="364">
      <c r="B364" s="37"/>
    </row>
    <row r="365">
      <c r="B365" s="37"/>
    </row>
    <row r="366">
      <c r="B366" s="37"/>
    </row>
    <row r="367">
      <c r="B367" s="37"/>
    </row>
    <row r="368">
      <c r="B368" s="37"/>
    </row>
    <row r="369">
      <c r="B369" s="37"/>
    </row>
    <row r="370">
      <c r="B370" s="37"/>
    </row>
    <row r="371">
      <c r="B371" s="37"/>
    </row>
    <row r="372">
      <c r="B372" s="37"/>
    </row>
    <row r="373">
      <c r="B373" s="37"/>
    </row>
    <row r="374">
      <c r="B374" s="37"/>
    </row>
    <row r="375">
      <c r="B375" s="37"/>
    </row>
    <row r="376">
      <c r="B376" s="37"/>
    </row>
    <row r="377">
      <c r="B377" s="37"/>
    </row>
    <row r="378">
      <c r="B378" s="37"/>
    </row>
    <row r="379">
      <c r="B379" s="37"/>
    </row>
    <row r="380">
      <c r="B380" s="37"/>
    </row>
    <row r="381">
      <c r="B381" s="37"/>
    </row>
    <row r="382">
      <c r="B382" s="37"/>
    </row>
    <row r="383">
      <c r="B383" s="37"/>
    </row>
    <row r="384">
      <c r="B384" s="37"/>
    </row>
    <row r="385">
      <c r="B385" s="37"/>
    </row>
    <row r="386">
      <c r="B386" s="37"/>
    </row>
    <row r="387">
      <c r="B387" s="37"/>
    </row>
    <row r="388">
      <c r="B388" s="37"/>
    </row>
    <row r="389">
      <c r="B389" s="37"/>
    </row>
    <row r="390">
      <c r="B390" s="37"/>
    </row>
    <row r="391">
      <c r="B391" s="37"/>
    </row>
    <row r="392">
      <c r="B392" s="37"/>
    </row>
    <row r="393">
      <c r="B393" s="37"/>
    </row>
    <row r="394">
      <c r="B394" s="37"/>
    </row>
    <row r="395">
      <c r="B395" s="37"/>
    </row>
    <row r="396">
      <c r="B396" s="37"/>
    </row>
    <row r="397">
      <c r="B397" s="37"/>
    </row>
    <row r="398">
      <c r="B398" s="37"/>
    </row>
    <row r="399">
      <c r="B399" s="37"/>
    </row>
    <row r="400">
      <c r="B400" s="37"/>
    </row>
    <row r="401">
      <c r="B401" s="37"/>
    </row>
    <row r="402">
      <c r="B402" s="37"/>
    </row>
    <row r="403">
      <c r="B403" s="37"/>
    </row>
    <row r="404">
      <c r="B404" s="37"/>
    </row>
    <row r="405">
      <c r="B405" s="37"/>
    </row>
    <row r="406">
      <c r="B406" s="37"/>
    </row>
    <row r="407">
      <c r="B407" s="37"/>
    </row>
    <row r="408">
      <c r="B408" s="37"/>
    </row>
    <row r="409">
      <c r="B409" s="37"/>
    </row>
    <row r="410">
      <c r="B410" s="37"/>
    </row>
    <row r="411">
      <c r="B411" s="37"/>
    </row>
    <row r="412">
      <c r="B412" s="37"/>
    </row>
    <row r="413">
      <c r="B413" s="37"/>
    </row>
    <row r="414">
      <c r="B414" s="37"/>
    </row>
    <row r="415">
      <c r="B415" s="37"/>
    </row>
    <row r="416">
      <c r="B416" s="37"/>
    </row>
    <row r="417">
      <c r="B417" s="37"/>
    </row>
    <row r="418">
      <c r="B418" s="37"/>
    </row>
    <row r="419">
      <c r="B419" s="37"/>
    </row>
    <row r="420">
      <c r="B420" s="37"/>
    </row>
    <row r="421">
      <c r="B421" s="37"/>
    </row>
    <row r="422">
      <c r="B422" s="37"/>
    </row>
    <row r="423">
      <c r="B423" s="37"/>
    </row>
    <row r="424">
      <c r="B424" s="37"/>
    </row>
    <row r="425">
      <c r="B425" s="37"/>
    </row>
    <row r="426">
      <c r="B426" s="37"/>
    </row>
    <row r="427">
      <c r="B427" s="37"/>
    </row>
    <row r="428">
      <c r="B428" s="37"/>
    </row>
    <row r="429">
      <c r="B429" s="37"/>
    </row>
    <row r="430">
      <c r="B430" s="37"/>
    </row>
    <row r="431">
      <c r="B431" s="37"/>
    </row>
    <row r="432">
      <c r="B432" s="37"/>
    </row>
    <row r="433">
      <c r="B433" s="37"/>
    </row>
    <row r="434">
      <c r="B434" s="37"/>
    </row>
    <row r="435">
      <c r="B435" s="37"/>
    </row>
    <row r="436">
      <c r="B436" s="37"/>
    </row>
    <row r="437">
      <c r="B437" s="37"/>
    </row>
    <row r="438">
      <c r="B438" s="37"/>
    </row>
    <row r="439">
      <c r="B439" s="37"/>
    </row>
    <row r="440">
      <c r="B440" s="37"/>
    </row>
    <row r="441">
      <c r="B441" s="37"/>
    </row>
    <row r="442">
      <c r="B442" s="37"/>
    </row>
    <row r="443">
      <c r="B443" s="37"/>
    </row>
    <row r="444">
      <c r="B444" s="37"/>
    </row>
    <row r="445">
      <c r="B445" s="37"/>
    </row>
    <row r="446">
      <c r="B446" s="37"/>
    </row>
    <row r="447">
      <c r="B447" s="37"/>
    </row>
    <row r="448">
      <c r="B448" s="37"/>
    </row>
    <row r="449">
      <c r="B449" s="37"/>
    </row>
    <row r="450">
      <c r="B450" s="37"/>
    </row>
    <row r="451">
      <c r="B451" s="37"/>
    </row>
    <row r="452">
      <c r="B452" s="37"/>
    </row>
    <row r="453">
      <c r="B453" s="37"/>
    </row>
    <row r="454">
      <c r="B454" s="37"/>
    </row>
    <row r="455">
      <c r="B455" s="37"/>
    </row>
    <row r="456">
      <c r="B456" s="37"/>
    </row>
    <row r="457">
      <c r="B457" s="37"/>
    </row>
    <row r="458">
      <c r="B458" s="37"/>
    </row>
    <row r="459">
      <c r="B459" s="37"/>
    </row>
    <row r="460">
      <c r="B460" s="37"/>
    </row>
    <row r="461">
      <c r="B461" s="37"/>
    </row>
    <row r="462">
      <c r="B462" s="37"/>
    </row>
    <row r="463">
      <c r="B463" s="37"/>
    </row>
    <row r="464">
      <c r="B464" s="37"/>
    </row>
    <row r="465">
      <c r="B465" s="37"/>
    </row>
    <row r="466">
      <c r="B466" s="37"/>
    </row>
    <row r="467">
      <c r="B467" s="37"/>
    </row>
    <row r="468">
      <c r="B468" s="37"/>
    </row>
    <row r="469">
      <c r="B469" s="37"/>
    </row>
    <row r="470">
      <c r="B470" s="37"/>
    </row>
    <row r="471">
      <c r="B471" s="37"/>
    </row>
    <row r="472">
      <c r="B472" s="37"/>
    </row>
    <row r="473">
      <c r="B473" s="37"/>
    </row>
    <row r="474">
      <c r="B474" s="37"/>
    </row>
    <row r="475">
      <c r="B475" s="37"/>
    </row>
    <row r="476">
      <c r="B476" s="37"/>
    </row>
    <row r="477">
      <c r="B477" s="37"/>
    </row>
    <row r="478">
      <c r="B478" s="37"/>
    </row>
    <row r="479">
      <c r="B479" s="37"/>
    </row>
    <row r="480">
      <c r="B480" s="37"/>
    </row>
    <row r="481">
      <c r="B481" s="37"/>
    </row>
    <row r="482">
      <c r="B482" s="37"/>
    </row>
    <row r="483">
      <c r="B483" s="37"/>
    </row>
    <row r="484">
      <c r="B484" s="37"/>
    </row>
    <row r="485">
      <c r="B485" s="37"/>
    </row>
    <row r="486">
      <c r="B486" s="37"/>
    </row>
    <row r="487">
      <c r="B487" s="37"/>
    </row>
    <row r="488">
      <c r="B488" s="37"/>
    </row>
    <row r="489">
      <c r="B489" s="37"/>
    </row>
    <row r="490">
      <c r="B490" s="37"/>
    </row>
    <row r="491">
      <c r="B491" s="37"/>
    </row>
    <row r="492">
      <c r="B492" s="37"/>
    </row>
    <row r="493">
      <c r="B493" s="37"/>
    </row>
    <row r="494">
      <c r="B494" s="37"/>
    </row>
    <row r="495">
      <c r="B495" s="37"/>
    </row>
    <row r="496">
      <c r="B496" s="37"/>
    </row>
    <row r="497">
      <c r="B497" s="37"/>
    </row>
    <row r="498">
      <c r="B498" s="37"/>
    </row>
    <row r="499">
      <c r="B499" s="37"/>
    </row>
    <row r="500">
      <c r="B500" s="37"/>
    </row>
    <row r="501">
      <c r="B501" s="37"/>
    </row>
    <row r="502">
      <c r="B502" s="37"/>
    </row>
    <row r="503">
      <c r="B503" s="37"/>
    </row>
    <row r="504">
      <c r="B504" s="37"/>
    </row>
    <row r="505">
      <c r="B505" s="37"/>
    </row>
    <row r="506">
      <c r="B506" s="37"/>
    </row>
    <row r="507">
      <c r="B507" s="37"/>
    </row>
    <row r="508">
      <c r="B508" s="37"/>
    </row>
    <row r="509">
      <c r="B509" s="37"/>
    </row>
    <row r="510">
      <c r="B510" s="37"/>
    </row>
    <row r="511">
      <c r="B511" s="37"/>
    </row>
    <row r="512">
      <c r="B512" s="37"/>
    </row>
    <row r="513">
      <c r="B513" s="37"/>
    </row>
    <row r="514">
      <c r="B514" s="37"/>
    </row>
    <row r="515">
      <c r="B515" s="37"/>
    </row>
    <row r="516">
      <c r="B516" s="37"/>
    </row>
    <row r="517">
      <c r="B517" s="37"/>
    </row>
    <row r="518">
      <c r="B518" s="37"/>
    </row>
    <row r="519">
      <c r="B519" s="37"/>
    </row>
    <row r="520">
      <c r="B520" s="37"/>
    </row>
    <row r="521">
      <c r="B521" s="37"/>
    </row>
    <row r="522">
      <c r="B522" s="37"/>
    </row>
    <row r="523">
      <c r="B523" s="37"/>
    </row>
    <row r="524">
      <c r="B524" s="37"/>
    </row>
    <row r="525">
      <c r="B525" s="37"/>
    </row>
    <row r="526">
      <c r="B526" s="37"/>
    </row>
    <row r="527">
      <c r="B527" s="37"/>
    </row>
    <row r="528">
      <c r="B528" s="37"/>
    </row>
    <row r="529">
      <c r="B529" s="37"/>
    </row>
    <row r="530">
      <c r="B530" s="37"/>
    </row>
    <row r="531">
      <c r="B531" s="37"/>
    </row>
    <row r="532">
      <c r="B532" s="37"/>
    </row>
    <row r="533">
      <c r="B533" s="37"/>
    </row>
    <row r="534">
      <c r="B534" s="37"/>
    </row>
    <row r="535">
      <c r="B535" s="37"/>
    </row>
    <row r="536">
      <c r="B536" s="37"/>
    </row>
    <row r="537">
      <c r="B537" s="37"/>
    </row>
    <row r="538">
      <c r="B538" s="37"/>
    </row>
    <row r="539">
      <c r="B539" s="37"/>
    </row>
    <row r="540">
      <c r="B540" s="37"/>
    </row>
    <row r="541">
      <c r="B541" s="37"/>
    </row>
    <row r="542">
      <c r="B542" s="37"/>
    </row>
    <row r="543">
      <c r="B543" s="37"/>
    </row>
    <row r="544">
      <c r="B544" s="37"/>
    </row>
    <row r="545">
      <c r="B545" s="37"/>
    </row>
    <row r="546">
      <c r="B546" s="37"/>
    </row>
    <row r="547">
      <c r="B547" s="37"/>
    </row>
    <row r="548">
      <c r="B548" s="37"/>
    </row>
    <row r="549">
      <c r="B549" s="37"/>
    </row>
    <row r="550">
      <c r="B550" s="37"/>
    </row>
    <row r="551">
      <c r="B551" s="37"/>
    </row>
    <row r="552">
      <c r="B552" s="37"/>
    </row>
    <row r="553">
      <c r="B553" s="37"/>
    </row>
    <row r="554">
      <c r="B554" s="37"/>
    </row>
    <row r="555">
      <c r="B555" s="37"/>
    </row>
    <row r="556">
      <c r="B556" s="37"/>
    </row>
    <row r="557">
      <c r="B557" s="37"/>
    </row>
    <row r="558">
      <c r="B558" s="37"/>
    </row>
    <row r="559">
      <c r="B559" s="37"/>
    </row>
    <row r="560">
      <c r="B560" s="37"/>
    </row>
    <row r="561">
      <c r="B561" s="37"/>
    </row>
    <row r="562">
      <c r="B562" s="37"/>
    </row>
    <row r="563">
      <c r="B563" s="37"/>
    </row>
    <row r="564">
      <c r="B564" s="37"/>
    </row>
    <row r="565">
      <c r="B565" s="37"/>
    </row>
    <row r="566">
      <c r="B566" s="37"/>
    </row>
    <row r="567">
      <c r="B567" s="37"/>
    </row>
    <row r="568">
      <c r="B568" s="37"/>
    </row>
    <row r="569">
      <c r="B569" s="37"/>
    </row>
    <row r="570">
      <c r="B570" s="37"/>
    </row>
    <row r="571">
      <c r="B571" s="37"/>
    </row>
    <row r="572">
      <c r="B572" s="37"/>
    </row>
    <row r="573">
      <c r="B573" s="37"/>
    </row>
    <row r="574">
      <c r="B574" s="37"/>
    </row>
    <row r="575">
      <c r="B575" s="37"/>
    </row>
    <row r="576">
      <c r="B576" s="37"/>
    </row>
    <row r="577">
      <c r="B577" s="37"/>
    </row>
    <row r="578">
      <c r="B578" s="37"/>
    </row>
    <row r="579">
      <c r="B579" s="37"/>
    </row>
    <row r="580">
      <c r="B580" s="37"/>
    </row>
    <row r="581">
      <c r="B581" s="37"/>
    </row>
    <row r="582">
      <c r="B582" s="37"/>
    </row>
    <row r="583">
      <c r="B583" s="37"/>
    </row>
    <row r="584">
      <c r="B584" s="37"/>
    </row>
    <row r="585">
      <c r="B585" s="37"/>
    </row>
    <row r="586">
      <c r="B586" s="37"/>
    </row>
    <row r="587">
      <c r="B587" s="37"/>
    </row>
    <row r="588">
      <c r="B588" s="37"/>
    </row>
    <row r="589">
      <c r="B589" s="37"/>
    </row>
    <row r="590">
      <c r="B590" s="37"/>
    </row>
    <row r="591">
      <c r="B591" s="37"/>
    </row>
    <row r="592">
      <c r="B592" s="37"/>
    </row>
    <row r="593">
      <c r="B593" s="37"/>
    </row>
    <row r="594">
      <c r="B594" s="37"/>
    </row>
    <row r="595">
      <c r="B595" s="37"/>
    </row>
    <row r="596">
      <c r="B596" s="37"/>
    </row>
    <row r="597">
      <c r="B597" s="37"/>
    </row>
    <row r="598">
      <c r="B598" s="37"/>
    </row>
    <row r="599">
      <c r="B599" s="37"/>
    </row>
    <row r="600">
      <c r="B600" s="37"/>
    </row>
    <row r="601">
      <c r="B601" s="37"/>
    </row>
    <row r="602">
      <c r="B602" s="37"/>
    </row>
    <row r="603">
      <c r="B603" s="37"/>
    </row>
    <row r="604">
      <c r="B604" s="37"/>
    </row>
    <row r="605">
      <c r="B605" s="37"/>
    </row>
    <row r="606">
      <c r="B606" s="37"/>
    </row>
    <row r="607">
      <c r="B607" s="37"/>
    </row>
    <row r="608">
      <c r="B608" s="37"/>
    </row>
    <row r="609">
      <c r="B609" s="37"/>
    </row>
    <row r="610">
      <c r="B610" s="37"/>
    </row>
    <row r="611">
      <c r="B611" s="37"/>
    </row>
    <row r="612">
      <c r="B612" s="37"/>
    </row>
    <row r="613">
      <c r="B613" s="37"/>
    </row>
    <row r="614">
      <c r="B614" s="37"/>
    </row>
    <row r="615">
      <c r="B615" s="37"/>
    </row>
    <row r="616">
      <c r="B616" s="37"/>
    </row>
    <row r="617">
      <c r="B617" s="37"/>
    </row>
    <row r="618">
      <c r="B618" s="37"/>
    </row>
    <row r="619">
      <c r="B619" s="37"/>
    </row>
    <row r="620">
      <c r="B620" s="37"/>
    </row>
    <row r="621">
      <c r="B621" s="37"/>
    </row>
    <row r="622">
      <c r="B622" s="37"/>
    </row>
    <row r="623">
      <c r="B623" s="37"/>
    </row>
    <row r="624">
      <c r="B624" s="37"/>
    </row>
    <row r="625">
      <c r="B625" s="37"/>
    </row>
    <row r="626">
      <c r="B626" s="37"/>
    </row>
    <row r="627">
      <c r="B627" s="37"/>
    </row>
    <row r="628">
      <c r="B628" s="37"/>
    </row>
    <row r="629">
      <c r="B629" s="37"/>
    </row>
    <row r="630">
      <c r="B630" s="37"/>
    </row>
    <row r="631">
      <c r="B631" s="37"/>
    </row>
    <row r="632">
      <c r="B632" s="37"/>
    </row>
    <row r="633">
      <c r="B633" s="37"/>
    </row>
    <row r="634">
      <c r="B634" s="37"/>
    </row>
    <row r="635">
      <c r="B635" s="37"/>
    </row>
    <row r="636">
      <c r="B636" s="37"/>
    </row>
    <row r="637">
      <c r="B637" s="37"/>
    </row>
    <row r="638">
      <c r="B638" s="37"/>
    </row>
    <row r="639">
      <c r="B639" s="37"/>
    </row>
    <row r="640">
      <c r="B640" s="37"/>
    </row>
    <row r="641">
      <c r="B641" s="37"/>
    </row>
    <row r="642">
      <c r="B642" s="37"/>
    </row>
    <row r="643">
      <c r="B643" s="37"/>
    </row>
    <row r="644">
      <c r="B644" s="37"/>
    </row>
    <row r="645">
      <c r="B645" s="37"/>
    </row>
    <row r="646">
      <c r="B646" s="37"/>
    </row>
    <row r="647">
      <c r="B647" s="37"/>
    </row>
    <row r="648">
      <c r="B648" s="37"/>
    </row>
    <row r="649">
      <c r="B649" s="37"/>
    </row>
    <row r="650">
      <c r="B650" s="37"/>
    </row>
    <row r="651">
      <c r="B651" s="37"/>
    </row>
    <row r="652">
      <c r="B652" s="37"/>
    </row>
    <row r="653">
      <c r="B653" s="37"/>
    </row>
    <row r="654">
      <c r="B654" s="37"/>
    </row>
    <row r="655">
      <c r="B655" s="37"/>
    </row>
    <row r="656">
      <c r="B656" s="37"/>
    </row>
    <row r="657">
      <c r="B657" s="37"/>
    </row>
    <row r="658">
      <c r="B658" s="37"/>
    </row>
    <row r="659">
      <c r="B659" s="37"/>
    </row>
    <row r="660">
      <c r="B660" s="37"/>
    </row>
    <row r="661">
      <c r="B661" s="37"/>
    </row>
    <row r="662">
      <c r="B662" s="37"/>
    </row>
    <row r="663">
      <c r="B663" s="37"/>
    </row>
    <row r="664">
      <c r="B664" s="37"/>
    </row>
    <row r="665">
      <c r="B665" s="37"/>
    </row>
    <row r="666">
      <c r="B666" s="37"/>
    </row>
    <row r="667">
      <c r="B667" s="37"/>
    </row>
    <row r="668">
      <c r="B668" s="37"/>
    </row>
    <row r="669">
      <c r="B669" s="37"/>
    </row>
    <row r="670">
      <c r="B670" s="37"/>
    </row>
    <row r="671">
      <c r="B671" s="37"/>
    </row>
    <row r="672">
      <c r="B672" s="37"/>
    </row>
    <row r="673">
      <c r="B673" s="37"/>
    </row>
    <row r="674">
      <c r="B674" s="37"/>
    </row>
    <row r="675">
      <c r="B675" s="37"/>
    </row>
    <row r="676">
      <c r="B676" s="37"/>
    </row>
    <row r="677">
      <c r="B677" s="37"/>
    </row>
    <row r="678">
      <c r="B678" s="37"/>
    </row>
    <row r="679">
      <c r="B679" s="37"/>
    </row>
    <row r="680">
      <c r="B680" s="37"/>
    </row>
    <row r="681">
      <c r="B681" s="37"/>
    </row>
    <row r="682">
      <c r="B682" s="37"/>
    </row>
    <row r="683">
      <c r="B683" s="37"/>
    </row>
    <row r="684">
      <c r="B684" s="37"/>
    </row>
    <row r="685">
      <c r="B685" s="37"/>
    </row>
    <row r="686">
      <c r="B686" s="37"/>
    </row>
    <row r="687">
      <c r="B687" s="37"/>
    </row>
    <row r="688">
      <c r="B688" s="37"/>
    </row>
    <row r="689">
      <c r="B689" s="37"/>
    </row>
    <row r="690">
      <c r="B690" s="37"/>
    </row>
    <row r="691">
      <c r="B691" s="37"/>
    </row>
    <row r="692">
      <c r="B692" s="37"/>
    </row>
    <row r="693">
      <c r="B693" s="37"/>
    </row>
    <row r="694">
      <c r="B694" s="37"/>
    </row>
    <row r="695">
      <c r="B695" s="37"/>
    </row>
    <row r="696">
      <c r="B696" s="37"/>
    </row>
    <row r="697">
      <c r="B697" s="37"/>
    </row>
    <row r="698">
      <c r="B698" s="37"/>
    </row>
    <row r="699">
      <c r="B699" s="37"/>
    </row>
    <row r="700">
      <c r="B700" s="37"/>
    </row>
    <row r="701">
      <c r="B701" s="37"/>
    </row>
    <row r="702">
      <c r="B702" s="37"/>
    </row>
    <row r="703">
      <c r="B703" s="37"/>
    </row>
    <row r="704">
      <c r="B704" s="37"/>
    </row>
    <row r="705">
      <c r="B705" s="37"/>
    </row>
    <row r="706">
      <c r="B706" s="37"/>
    </row>
    <row r="707">
      <c r="B707" s="37"/>
    </row>
    <row r="708">
      <c r="B708" s="37"/>
    </row>
    <row r="709">
      <c r="B709" s="37"/>
    </row>
    <row r="710">
      <c r="B710" s="37"/>
    </row>
    <row r="711">
      <c r="B711" s="37"/>
    </row>
    <row r="712">
      <c r="B712" s="37"/>
    </row>
    <row r="713">
      <c r="B713" s="37"/>
    </row>
    <row r="714">
      <c r="B714" s="37"/>
    </row>
    <row r="715">
      <c r="B715" s="37"/>
    </row>
    <row r="716">
      <c r="B716" s="37"/>
    </row>
    <row r="717">
      <c r="B717" s="37"/>
    </row>
    <row r="718">
      <c r="B718" s="37"/>
    </row>
    <row r="719">
      <c r="B719" s="37"/>
    </row>
    <row r="720">
      <c r="B720" s="37"/>
    </row>
    <row r="721">
      <c r="B721" s="37"/>
    </row>
    <row r="722">
      <c r="B722" s="37"/>
    </row>
    <row r="723">
      <c r="B723" s="37"/>
    </row>
    <row r="724">
      <c r="B724" s="37"/>
    </row>
    <row r="725">
      <c r="B725" s="37"/>
    </row>
    <row r="726">
      <c r="B726" s="37"/>
    </row>
    <row r="727">
      <c r="B727" s="37"/>
    </row>
    <row r="728">
      <c r="B728" s="37"/>
    </row>
    <row r="729">
      <c r="B729" s="37"/>
    </row>
    <row r="730">
      <c r="B730" s="37"/>
    </row>
    <row r="731">
      <c r="B731" s="37"/>
    </row>
    <row r="732">
      <c r="B732" s="37"/>
    </row>
    <row r="733">
      <c r="B733" s="37"/>
    </row>
    <row r="734">
      <c r="B734" s="37"/>
    </row>
    <row r="735">
      <c r="B735" s="37"/>
    </row>
    <row r="736">
      <c r="B736" s="37"/>
    </row>
    <row r="737">
      <c r="B737" s="37"/>
    </row>
    <row r="738">
      <c r="B738" s="37"/>
    </row>
    <row r="739">
      <c r="B739" s="37"/>
    </row>
    <row r="740">
      <c r="B740" s="37"/>
    </row>
    <row r="741">
      <c r="B741" s="37"/>
    </row>
    <row r="742">
      <c r="B742" s="37"/>
    </row>
    <row r="743">
      <c r="B743" s="37"/>
    </row>
    <row r="744">
      <c r="B744" s="37"/>
    </row>
    <row r="745">
      <c r="B745" s="37"/>
    </row>
    <row r="746">
      <c r="B746" s="37"/>
    </row>
    <row r="747">
      <c r="B747" s="37"/>
    </row>
    <row r="748">
      <c r="B748" s="37"/>
    </row>
    <row r="749">
      <c r="B749" s="37"/>
    </row>
    <row r="750">
      <c r="B750" s="37"/>
    </row>
    <row r="751">
      <c r="B751" s="37"/>
    </row>
    <row r="752">
      <c r="B752" s="37"/>
    </row>
    <row r="753">
      <c r="B753" s="37"/>
    </row>
    <row r="754">
      <c r="B754" s="37"/>
    </row>
    <row r="755">
      <c r="B755" s="37"/>
    </row>
    <row r="756">
      <c r="B756" s="37"/>
    </row>
    <row r="757">
      <c r="B757" s="37"/>
    </row>
    <row r="758">
      <c r="B758" s="37"/>
    </row>
    <row r="759">
      <c r="B759" s="37"/>
    </row>
    <row r="760">
      <c r="B760" s="37"/>
    </row>
    <row r="761">
      <c r="B761" s="37"/>
    </row>
    <row r="762">
      <c r="B762" s="37"/>
    </row>
    <row r="763">
      <c r="B763" s="37"/>
    </row>
    <row r="764">
      <c r="B764" s="37"/>
    </row>
    <row r="765">
      <c r="B765" s="37"/>
    </row>
    <row r="766">
      <c r="B766" s="37"/>
    </row>
    <row r="767">
      <c r="B767" s="37"/>
    </row>
    <row r="768">
      <c r="B768" s="37"/>
    </row>
    <row r="769">
      <c r="B769" s="37"/>
    </row>
    <row r="770">
      <c r="B770" s="37"/>
    </row>
    <row r="771">
      <c r="B771" s="37"/>
    </row>
    <row r="772">
      <c r="B772" s="37"/>
    </row>
    <row r="773">
      <c r="B773" s="37"/>
    </row>
    <row r="774">
      <c r="B774" s="37"/>
    </row>
    <row r="775">
      <c r="B775" s="37"/>
    </row>
    <row r="776">
      <c r="B776" s="37"/>
    </row>
    <row r="777">
      <c r="B777" s="37"/>
    </row>
    <row r="778">
      <c r="B778" s="37"/>
    </row>
    <row r="779">
      <c r="B779" s="37"/>
    </row>
    <row r="780">
      <c r="B780" s="37"/>
    </row>
    <row r="781">
      <c r="B781" s="37"/>
    </row>
    <row r="782">
      <c r="B782" s="37"/>
    </row>
    <row r="783">
      <c r="B783" s="37"/>
    </row>
    <row r="784">
      <c r="B784" s="37"/>
    </row>
    <row r="785">
      <c r="B785" s="37"/>
    </row>
    <row r="786">
      <c r="B786" s="37"/>
    </row>
    <row r="787">
      <c r="B787" s="37"/>
    </row>
    <row r="788">
      <c r="B788" s="37"/>
    </row>
    <row r="789">
      <c r="B789" s="37"/>
    </row>
    <row r="790">
      <c r="B790" s="37"/>
    </row>
    <row r="791">
      <c r="B791" s="37"/>
    </row>
    <row r="792">
      <c r="B792" s="37"/>
    </row>
    <row r="793">
      <c r="B793" s="37"/>
    </row>
    <row r="794">
      <c r="B794" s="37"/>
    </row>
    <row r="795">
      <c r="B795" s="37"/>
    </row>
    <row r="796">
      <c r="B796" s="37"/>
    </row>
    <row r="797">
      <c r="B797" s="37"/>
    </row>
    <row r="798">
      <c r="B798" s="37"/>
    </row>
    <row r="799">
      <c r="B799" s="37"/>
    </row>
    <row r="800">
      <c r="B800" s="37"/>
    </row>
    <row r="801">
      <c r="B801" s="37"/>
    </row>
    <row r="802">
      <c r="B802" s="37"/>
    </row>
    <row r="803">
      <c r="B803" s="37"/>
    </row>
    <row r="804">
      <c r="B804" s="37"/>
    </row>
    <row r="805">
      <c r="B805" s="37"/>
    </row>
    <row r="806">
      <c r="B806" s="37"/>
    </row>
    <row r="807">
      <c r="B807" s="37"/>
    </row>
    <row r="808">
      <c r="B808" s="37"/>
    </row>
    <row r="809">
      <c r="B809" s="37"/>
    </row>
    <row r="810">
      <c r="B810" s="37"/>
    </row>
    <row r="811">
      <c r="B811" s="37"/>
    </row>
    <row r="812">
      <c r="B812" s="37"/>
    </row>
    <row r="813">
      <c r="B813" s="37"/>
    </row>
    <row r="814">
      <c r="B814" s="37"/>
    </row>
    <row r="815">
      <c r="B815" s="37"/>
    </row>
    <row r="816">
      <c r="B816" s="37"/>
    </row>
    <row r="817">
      <c r="B817" s="37"/>
    </row>
    <row r="818">
      <c r="B818" s="37"/>
    </row>
    <row r="819">
      <c r="B819" s="37"/>
    </row>
    <row r="820">
      <c r="B820" s="37"/>
    </row>
    <row r="821">
      <c r="B821" s="37"/>
    </row>
    <row r="822">
      <c r="B822" s="37"/>
    </row>
    <row r="823">
      <c r="B823" s="37"/>
    </row>
    <row r="824">
      <c r="B824" s="37"/>
    </row>
    <row r="825">
      <c r="B825" s="37"/>
    </row>
    <row r="826">
      <c r="B826" s="37"/>
    </row>
    <row r="827">
      <c r="B827" s="37"/>
    </row>
    <row r="828">
      <c r="B828" s="37"/>
    </row>
    <row r="829">
      <c r="B829" s="37"/>
    </row>
    <row r="830">
      <c r="B830" s="37"/>
    </row>
    <row r="831">
      <c r="B831" s="37"/>
    </row>
    <row r="832">
      <c r="B832" s="37"/>
    </row>
    <row r="833">
      <c r="B833" s="37"/>
    </row>
    <row r="834">
      <c r="B834" s="37"/>
    </row>
    <row r="835">
      <c r="B835" s="37"/>
    </row>
    <row r="836">
      <c r="B836" s="37"/>
    </row>
    <row r="837">
      <c r="B837" s="37"/>
    </row>
    <row r="838">
      <c r="B838" s="37"/>
    </row>
    <row r="839">
      <c r="B839" s="37"/>
    </row>
    <row r="840">
      <c r="B840" s="37"/>
    </row>
    <row r="841">
      <c r="B841" s="37"/>
    </row>
    <row r="842">
      <c r="B842" s="37"/>
    </row>
    <row r="843">
      <c r="B843" s="37"/>
    </row>
    <row r="844">
      <c r="B844" s="37"/>
    </row>
    <row r="845">
      <c r="B845" s="37"/>
    </row>
    <row r="846">
      <c r="B846" s="37"/>
    </row>
    <row r="847">
      <c r="B847" s="37"/>
    </row>
    <row r="848">
      <c r="B848" s="37"/>
    </row>
    <row r="849">
      <c r="B849" s="37"/>
    </row>
    <row r="850">
      <c r="B850" s="37"/>
    </row>
    <row r="851">
      <c r="B851" s="37"/>
    </row>
    <row r="852">
      <c r="B852" s="37"/>
    </row>
    <row r="853">
      <c r="B853" s="37"/>
    </row>
    <row r="854">
      <c r="B854" s="37"/>
    </row>
    <row r="855">
      <c r="B855" s="37"/>
    </row>
    <row r="856">
      <c r="B856" s="37"/>
    </row>
    <row r="857">
      <c r="B857" s="37"/>
    </row>
    <row r="858">
      <c r="B858" s="37"/>
    </row>
    <row r="859">
      <c r="B859" s="37"/>
    </row>
    <row r="860">
      <c r="B860" s="37"/>
    </row>
    <row r="861">
      <c r="B861" s="37"/>
    </row>
    <row r="862">
      <c r="B862" s="37"/>
    </row>
    <row r="863">
      <c r="B863" s="37"/>
    </row>
    <row r="864">
      <c r="B864" s="37"/>
    </row>
    <row r="865">
      <c r="B865" s="37"/>
    </row>
    <row r="866">
      <c r="B866" s="37"/>
    </row>
    <row r="867">
      <c r="B867" s="37"/>
    </row>
    <row r="868">
      <c r="B868" s="37"/>
    </row>
    <row r="869">
      <c r="B869" s="37"/>
    </row>
    <row r="870">
      <c r="B870" s="37"/>
    </row>
    <row r="871">
      <c r="B871" s="37"/>
    </row>
    <row r="872">
      <c r="B872" s="37"/>
    </row>
    <row r="873">
      <c r="B873" s="37"/>
    </row>
    <row r="874">
      <c r="B874" s="37"/>
    </row>
    <row r="875">
      <c r="B875" s="37"/>
    </row>
    <row r="876">
      <c r="B876" s="37"/>
    </row>
    <row r="877">
      <c r="B877" s="37"/>
    </row>
    <row r="878">
      <c r="B878" s="37"/>
    </row>
    <row r="879">
      <c r="B879" s="37"/>
    </row>
    <row r="880">
      <c r="B880" s="37"/>
    </row>
    <row r="881">
      <c r="B881" s="37"/>
    </row>
    <row r="882">
      <c r="B882" s="37"/>
    </row>
    <row r="883">
      <c r="B883" s="37"/>
    </row>
    <row r="884">
      <c r="B884" s="37"/>
    </row>
    <row r="885">
      <c r="B885" s="37"/>
    </row>
    <row r="886">
      <c r="B886" s="37"/>
    </row>
    <row r="887">
      <c r="B887" s="37"/>
    </row>
    <row r="888">
      <c r="B888" s="37"/>
    </row>
    <row r="889">
      <c r="B889" s="37"/>
    </row>
    <row r="890">
      <c r="B890" s="37"/>
    </row>
    <row r="891">
      <c r="B891" s="37"/>
    </row>
    <row r="892">
      <c r="B892" s="37"/>
    </row>
    <row r="893">
      <c r="B893" s="37"/>
    </row>
    <row r="894">
      <c r="B894" s="37"/>
    </row>
    <row r="895">
      <c r="B895" s="37"/>
    </row>
    <row r="896">
      <c r="B896" s="37"/>
    </row>
    <row r="897">
      <c r="B897" s="37"/>
    </row>
    <row r="898">
      <c r="B898" s="37"/>
    </row>
    <row r="899">
      <c r="B899" s="37"/>
    </row>
    <row r="900">
      <c r="B900" s="37"/>
    </row>
    <row r="901">
      <c r="B901" s="37"/>
    </row>
    <row r="902">
      <c r="B902" s="37"/>
    </row>
    <row r="903">
      <c r="B903" s="37"/>
    </row>
    <row r="904">
      <c r="B904" s="37"/>
    </row>
    <row r="905">
      <c r="B905" s="37"/>
    </row>
    <row r="906">
      <c r="B906" s="37"/>
    </row>
    <row r="907">
      <c r="B907" s="37"/>
    </row>
    <row r="908">
      <c r="B908" s="37"/>
    </row>
    <row r="909">
      <c r="B909" s="37"/>
    </row>
    <row r="910">
      <c r="B910" s="37"/>
    </row>
    <row r="911">
      <c r="B911" s="37"/>
    </row>
    <row r="912">
      <c r="B912" s="37"/>
    </row>
    <row r="913">
      <c r="B913" s="37"/>
    </row>
    <row r="914">
      <c r="B914" s="37"/>
    </row>
    <row r="915">
      <c r="B915" s="37"/>
    </row>
    <row r="916">
      <c r="B916" s="37"/>
    </row>
    <row r="917">
      <c r="B917" s="37"/>
    </row>
    <row r="918">
      <c r="B918" s="37"/>
    </row>
    <row r="919">
      <c r="B919" s="37"/>
    </row>
    <row r="920">
      <c r="B920" s="37"/>
    </row>
    <row r="921">
      <c r="B921" s="37"/>
    </row>
    <row r="922">
      <c r="B922" s="37"/>
    </row>
    <row r="923">
      <c r="B923" s="37"/>
    </row>
    <row r="924">
      <c r="B924" s="37"/>
    </row>
    <row r="925">
      <c r="B925" s="37"/>
    </row>
    <row r="926">
      <c r="B926" s="37"/>
    </row>
    <row r="927">
      <c r="B927" s="37"/>
    </row>
    <row r="928">
      <c r="B928" s="37"/>
    </row>
    <row r="929">
      <c r="B929" s="37"/>
    </row>
    <row r="930">
      <c r="B930" s="37"/>
    </row>
    <row r="931">
      <c r="B931" s="37"/>
    </row>
    <row r="932">
      <c r="B932" s="37"/>
    </row>
    <row r="933">
      <c r="B933" s="37"/>
    </row>
    <row r="934">
      <c r="B934" s="37"/>
    </row>
    <row r="935">
      <c r="B935" s="37"/>
    </row>
    <row r="936">
      <c r="B936" s="37"/>
    </row>
    <row r="937">
      <c r="B937" s="37"/>
    </row>
    <row r="938">
      <c r="B938" s="37"/>
    </row>
    <row r="939">
      <c r="B939" s="37"/>
    </row>
    <row r="940">
      <c r="B940" s="37"/>
    </row>
    <row r="941">
      <c r="B941" s="37"/>
    </row>
    <row r="942">
      <c r="B942" s="37"/>
    </row>
    <row r="943">
      <c r="B943" s="37"/>
    </row>
    <row r="944">
      <c r="B944" s="37"/>
    </row>
    <row r="945">
      <c r="B945" s="37"/>
    </row>
    <row r="946">
      <c r="B946" s="37"/>
    </row>
    <row r="947">
      <c r="B947" s="37"/>
    </row>
    <row r="948">
      <c r="B948" s="37"/>
    </row>
    <row r="949">
      <c r="B949" s="37"/>
    </row>
    <row r="950">
      <c r="B950" s="37"/>
    </row>
    <row r="951">
      <c r="B951" s="37"/>
    </row>
    <row r="952">
      <c r="B952" s="37"/>
    </row>
    <row r="953">
      <c r="B953" s="37"/>
    </row>
    <row r="954">
      <c r="B954" s="37"/>
    </row>
    <row r="955">
      <c r="B955" s="37"/>
    </row>
    <row r="956">
      <c r="B956" s="37"/>
    </row>
    <row r="957">
      <c r="B957" s="37"/>
    </row>
    <row r="958">
      <c r="B958" s="37"/>
    </row>
    <row r="959">
      <c r="B959" s="37"/>
    </row>
    <row r="960">
      <c r="B960" s="37"/>
    </row>
    <row r="961">
      <c r="B961" s="37"/>
    </row>
    <row r="962">
      <c r="B962" s="37"/>
    </row>
    <row r="963">
      <c r="B963" s="37"/>
    </row>
    <row r="964">
      <c r="B964" s="37"/>
    </row>
    <row r="965">
      <c r="B965" s="37"/>
    </row>
    <row r="966">
      <c r="B966" s="37"/>
    </row>
    <row r="967">
      <c r="B967" s="37"/>
    </row>
    <row r="968">
      <c r="B968" s="37"/>
    </row>
    <row r="969">
      <c r="B969" s="37"/>
    </row>
    <row r="970">
      <c r="B970" s="37"/>
    </row>
    <row r="971">
      <c r="B971" s="37"/>
    </row>
    <row r="972">
      <c r="B972" s="37"/>
    </row>
    <row r="973">
      <c r="B973" s="37"/>
    </row>
    <row r="974">
      <c r="B974" s="37"/>
    </row>
    <row r="975">
      <c r="B975" s="37"/>
    </row>
    <row r="976">
      <c r="B976" s="37"/>
    </row>
    <row r="977">
      <c r="B977" s="37"/>
    </row>
    <row r="978">
      <c r="B978" s="37"/>
    </row>
    <row r="979">
      <c r="B979" s="37"/>
    </row>
    <row r="980">
      <c r="B980" s="37"/>
    </row>
    <row r="981">
      <c r="B981" s="37"/>
    </row>
    <row r="982">
      <c r="B982" s="37"/>
    </row>
    <row r="983">
      <c r="B983" s="37"/>
    </row>
    <row r="984">
      <c r="B984" s="37"/>
    </row>
    <row r="985">
      <c r="B985" s="37"/>
    </row>
    <row r="986">
      <c r="B986" s="37"/>
    </row>
    <row r="987">
      <c r="B987" s="37"/>
    </row>
    <row r="988">
      <c r="B988" s="37"/>
    </row>
    <row r="989">
      <c r="B989" s="37"/>
    </row>
    <row r="990">
      <c r="B990" s="37"/>
    </row>
    <row r="991">
      <c r="B991" s="37"/>
    </row>
    <row r="992">
      <c r="B992" s="37"/>
    </row>
    <row r="993">
      <c r="B993" s="37"/>
    </row>
    <row r="994">
      <c r="B994" s="37"/>
    </row>
    <row r="995">
      <c r="B995" s="37"/>
    </row>
  </sheetData>
  <mergeCells count="16">
    <mergeCell ref="B1:D1"/>
    <mergeCell ref="F1:H1"/>
    <mergeCell ref="B9:D9"/>
    <mergeCell ref="B10:D10"/>
    <mergeCell ref="F10:H10"/>
    <mergeCell ref="J12:L12"/>
    <mergeCell ref="B19:D19"/>
    <mergeCell ref="F50:H50"/>
    <mergeCell ref="F51:H51"/>
    <mergeCell ref="F19:H19"/>
    <mergeCell ref="J21:L21"/>
    <mergeCell ref="B29:D29"/>
    <mergeCell ref="F29:H29"/>
    <mergeCell ref="B41:D41"/>
    <mergeCell ref="F41:H41"/>
    <mergeCell ref="B51:D5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4.13"/>
    <col customWidth="1" min="6" max="6" width="20.13"/>
    <col customWidth="1" min="10" max="10" width="26.5"/>
  </cols>
  <sheetData>
    <row r="1">
      <c r="B1" s="1" t="s">
        <v>0</v>
      </c>
      <c r="C1" s="2"/>
      <c r="D1" s="3"/>
      <c r="F1" s="4" t="s">
        <v>1</v>
      </c>
      <c r="G1" s="2"/>
      <c r="H1" s="3"/>
      <c r="J1" s="10" t="s">
        <v>4</v>
      </c>
      <c r="K1" s="5"/>
      <c r="L1" s="5"/>
    </row>
    <row r="2">
      <c r="B2" s="6" t="s">
        <v>2</v>
      </c>
      <c r="C2" s="7" t="s">
        <v>3</v>
      </c>
      <c r="D2" s="8"/>
      <c r="F2" s="9" t="s">
        <v>2</v>
      </c>
      <c r="G2" s="11" t="s">
        <v>3</v>
      </c>
      <c r="H2" s="12"/>
      <c r="J2" s="20">
        <f>SUM(C8,G8,G17,C17,C27,G27,C37,G35,K4,K18,K9,C47,G47,C57,G58)</f>
        <v>5838.31</v>
      </c>
      <c r="K2" s="13"/>
      <c r="L2" s="14"/>
    </row>
    <row r="3">
      <c r="B3" s="15" t="s">
        <v>5</v>
      </c>
      <c r="C3" s="7">
        <f>694.84+25</f>
        <v>719.84</v>
      </c>
      <c r="D3" s="16" t="b">
        <v>1</v>
      </c>
      <c r="F3" s="17"/>
      <c r="G3" s="18"/>
      <c r="H3" s="19"/>
      <c r="J3" s="13"/>
      <c r="K3" s="13"/>
      <c r="L3" s="14"/>
    </row>
    <row r="4">
      <c r="B4" s="15" t="s">
        <v>6</v>
      </c>
      <c r="C4" s="7">
        <f>132.58</f>
        <v>132.58</v>
      </c>
      <c r="D4" s="21" t="b">
        <v>1</v>
      </c>
      <c r="F4" s="15" t="s">
        <v>5</v>
      </c>
      <c r="G4" s="23"/>
      <c r="H4" s="16" t="b">
        <v>0</v>
      </c>
      <c r="J4" s="24"/>
      <c r="K4" s="25"/>
      <c r="L4" s="26"/>
    </row>
    <row r="5">
      <c r="B5" s="15" t="s">
        <v>14</v>
      </c>
      <c r="C5" s="7"/>
      <c r="D5" s="21" t="b">
        <v>0</v>
      </c>
      <c r="F5" s="15" t="s">
        <v>6</v>
      </c>
      <c r="G5" s="23"/>
      <c r="H5" s="16" t="b">
        <v>0</v>
      </c>
      <c r="J5" s="24"/>
      <c r="K5" s="25"/>
      <c r="L5" s="26"/>
    </row>
    <row r="6">
      <c r="A6" s="27"/>
      <c r="B6" s="15" t="s">
        <v>81</v>
      </c>
      <c r="C6" s="23">
        <v>379.0</v>
      </c>
      <c r="D6" s="21" t="b">
        <v>1</v>
      </c>
      <c r="F6" s="15" t="s">
        <v>10</v>
      </c>
      <c r="G6" s="23">
        <v>30.0</v>
      </c>
      <c r="H6" s="16" t="b">
        <v>0</v>
      </c>
      <c r="J6" s="28"/>
      <c r="K6" s="25"/>
      <c r="L6" s="26"/>
    </row>
    <row r="7">
      <c r="B7" s="15"/>
      <c r="C7" s="23"/>
      <c r="D7" s="29" t="b">
        <v>0</v>
      </c>
      <c r="F7" s="15" t="s">
        <v>11</v>
      </c>
      <c r="G7" s="23"/>
      <c r="H7" s="16" t="b">
        <v>0</v>
      </c>
      <c r="J7" s="28"/>
      <c r="K7" s="25"/>
      <c r="L7" s="26"/>
    </row>
    <row r="8">
      <c r="B8" s="30" t="s">
        <v>13</v>
      </c>
      <c r="C8" s="31">
        <f>SUM(C3:C7)</f>
        <v>1231.42</v>
      </c>
      <c r="D8" s="32" t="b">
        <v>1</v>
      </c>
      <c r="F8" s="30" t="s">
        <v>13</v>
      </c>
      <c r="G8" s="33">
        <f>SUM(G4:G7)</f>
        <v>30</v>
      </c>
      <c r="H8" s="34" t="b">
        <v>1</v>
      </c>
      <c r="J8" s="35"/>
      <c r="K8" s="36"/>
      <c r="L8" s="26"/>
    </row>
    <row r="9">
      <c r="B9" s="37"/>
      <c r="J9" s="35"/>
      <c r="K9" s="36"/>
      <c r="L9" s="36"/>
    </row>
    <row r="10">
      <c r="B10" s="1" t="s">
        <v>18</v>
      </c>
      <c r="C10" s="2"/>
      <c r="D10" s="3"/>
      <c r="F10" s="4" t="s">
        <v>19</v>
      </c>
      <c r="G10" s="2"/>
      <c r="H10" s="3"/>
    </row>
    <row r="11">
      <c r="B11" s="38" t="s">
        <v>2</v>
      </c>
      <c r="C11" s="39" t="s">
        <v>3</v>
      </c>
      <c r="D11" s="40"/>
      <c r="F11" s="9" t="s">
        <v>2</v>
      </c>
      <c r="G11" s="11" t="s">
        <v>3</v>
      </c>
      <c r="H11" s="12"/>
    </row>
    <row r="12">
      <c r="B12" s="41" t="s">
        <v>20</v>
      </c>
      <c r="C12" s="42">
        <f>210.97+39.94+19.97</f>
        <v>270.88</v>
      </c>
      <c r="D12" s="43" t="b">
        <v>1</v>
      </c>
      <c r="F12" s="22" t="s">
        <v>5</v>
      </c>
      <c r="G12" s="23"/>
      <c r="H12" s="16" t="b">
        <v>0</v>
      </c>
      <c r="J12" s="44"/>
    </row>
    <row r="13">
      <c r="B13" s="15" t="s">
        <v>6</v>
      </c>
      <c r="C13" s="42"/>
      <c r="D13" s="43" t="b">
        <v>0</v>
      </c>
      <c r="F13" s="15" t="s">
        <v>82</v>
      </c>
      <c r="G13" s="23">
        <v>103.11</v>
      </c>
      <c r="H13" s="46" t="b">
        <v>1</v>
      </c>
      <c r="J13" s="47"/>
      <c r="K13" s="48"/>
      <c r="L13" s="49"/>
    </row>
    <row r="14">
      <c r="B14" s="45" t="s">
        <v>23</v>
      </c>
      <c r="C14" s="50">
        <v>88.88</v>
      </c>
      <c r="D14" s="43" t="b">
        <v>1</v>
      </c>
      <c r="F14" s="15"/>
      <c r="G14" s="23"/>
      <c r="H14" s="46" t="b">
        <v>0</v>
      </c>
      <c r="J14" s="51"/>
      <c r="K14" s="25"/>
      <c r="L14" s="52"/>
    </row>
    <row r="15">
      <c r="B15" s="45" t="s">
        <v>84</v>
      </c>
      <c r="C15" s="50">
        <v>221.44</v>
      </c>
      <c r="D15" s="43" t="b">
        <v>1</v>
      </c>
      <c r="F15" s="15"/>
      <c r="G15" s="23"/>
      <c r="H15" s="46" t="b">
        <v>0</v>
      </c>
      <c r="J15" s="51"/>
      <c r="K15" s="25"/>
      <c r="L15" s="52"/>
    </row>
    <row r="16">
      <c r="B16" s="45" t="s">
        <v>85</v>
      </c>
      <c r="C16" s="42">
        <v>284.91</v>
      </c>
      <c r="D16" s="43" t="b">
        <v>1</v>
      </c>
      <c r="F16" s="15"/>
      <c r="G16" s="23"/>
      <c r="H16" s="46" t="b">
        <v>0</v>
      </c>
      <c r="J16" s="28"/>
      <c r="K16" s="25"/>
      <c r="L16" s="52"/>
    </row>
    <row r="17">
      <c r="B17" s="53" t="s">
        <v>13</v>
      </c>
      <c r="C17" s="54">
        <f>SUM(C12:C16)</f>
        <v>866.11</v>
      </c>
      <c r="D17" s="55" t="b">
        <v>0</v>
      </c>
      <c r="F17" s="30" t="s">
        <v>13</v>
      </c>
      <c r="G17" s="33">
        <f>SUM(G12:G16)</f>
        <v>103.11</v>
      </c>
      <c r="H17" s="34" t="b">
        <v>1</v>
      </c>
      <c r="J17" s="51"/>
      <c r="K17" s="25"/>
      <c r="L17" s="56"/>
    </row>
    <row r="18">
      <c r="B18" s="37"/>
      <c r="J18" s="57"/>
      <c r="K18" s="58"/>
      <c r="L18" s="56"/>
    </row>
    <row r="19">
      <c r="B19" s="1" t="s">
        <v>31</v>
      </c>
      <c r="C19" s="2"/>
      <c r="D19" s="3"/>
      <c r="F19" s="4" t="s">
        <v>32</v>
      </c>
      <c r="G19" s="2"/>
      <c r="H19" s="3"/>
    </row>
    <row r="20">
      <c r="B20" s="6" t="s">
        <v>2</v>
      </c>
      <c r="C20" s="11" t="s">
        <v>3</v>
      </c>
      <c r="D20" s="8"/>
      <c r="F20" s="9" t="s">
        <v>2</v>
      </c>
      <c r="G20" s="11" t="s">
        <v>3</v>
      </c>
      <c r="H20" s="12"/>
    </row>
    <row r="21">
      <c r="B21" s="15" t="s">
        <v>33</v>
      </c>
      <c r="C21" s="23"/>
      <c r="D21" s="16" t="b">
        <v>0</v>
      </c>
      <c r="F21" s="15" t="s">
        <v>5</v>
      </c>
      <c r="G21" s="23">
        <f>13.38+23.63+14.96+18.48+13.61</f>
        <v>84.06</v>
      </c>
      <c r="H21" s="16" t="b">
        <v>1</v>
      </c>
      <c r="J21" s="5"/>
    </row>
    <row r="22">
      <c r="B22" s="15" t="s">
        <v>34</v>
      </c>
      <c r="C22" s="23"/>
      <c r="D22" s="16" t="b">
        <v>0</v>
      </c>
      <c r="F22" s="15" t="s">
        <v>6</v>
      </c>
      <c r="G22" s="23"/>
      <c r="H22" s="16" t="b">
        <v>0</v>
      </c>
      <c r="J22" s="13"/>
      <c r="K22" s="13"/>
      <c r="L22" s="14"/>
    </row>
    <row r="23">
      <c r="B23" s="15" t="s">
        <v>36</v>
      </c>
      <c r="C23" s="23">
        <v>721.43</v>
      </c>
      <c r="D23" s="16" t="b">
        <v>0</v>
      </c>
      <c r="F23" s="15" t="s">
        <v>37</v>
      </c>
      <c r="G23" s="23">
        <v>60.0</v>
      </c>
      <c r="H23" s="16" t="b">
        <v>1</v>
      </c>
      <c r="J23" s="24"/>
      <c r="K23" s="25"/>
      <c r="L23" s="26"/>
    </row>
    <row r="24">
      <c r="B24" s="15" t="s">
        <v>38</v>
      </c>
      <c r="C24" s="23"/>
      <c r="D24" s="16" t="b">
        <v>0</v>
      </c>
      <c r="F24" s="15"/>
      <c r="G24" s="23"/>
      <c r="H24" s="16" t="b">
        <v>0</v>
      </c>
      <c r="J24" s="35"/>
      <c r="K24" s="36"/>
      <c r="L24" s="36"/>
    </row>
    <row r="25">
      <c r="B25" s="15" t="s">
        <v>50</v>
      </c>
      <c r="C25" s="23">
        <v>99.7</v>
      </c>
      <c r="D25" s="16" t="b">
        <v>1</v>
      </c>
      <c r="F25" s="15"/>
      <c r="G25" s="23"/>
      <c r="H25" s="16" t="b">
        <v>0</v>
      </c>
    </row>
    <row r="26">
      <c r="B26" s="15" t="s">
        <v>43</v>
      </c>
      <c r="C26" s="23">
        <f>111.38</f>
        <v>111.38</v>
      </c>
      <c r="D26" s="16" t="b">
        <v>1</v>
      </c>
      <c r="F26" s="15"/>
      <c r="G26" s="23"/>
      <c r="H26" s="16" t="b">
        <v>0</v>
      </c>
    </row>
    <row r="27">
      <c r="B27" s="30" t="s">
        <v>13</v>
      </c>
      <c r="C27" s="31">
        <f>SUM(C21:C26)</f>
        <v>932.51</v>
      </c>
      <c r="D27" s="34" t="b">
        <v>0</v>
      </c>
      <c r="F27" s="30" t="s">
        <v>13</v>
      </c>
      <c r="G27" s="33">
        <f>SUM(G21:G26)</f>
        <v>144.06</v>
      </c>
      <c r="H27" s="34" t="b">
        <v>1</v>
      </c>
    </row>
    <row r="28">
      <c r="B28" s="37"/>
    </row>
    <row r="29">
      <c r="B29" s="1" t="s">
        <v>40</v>
      </c>
      <c r="C29" s="2"/>
      <c r="D29" s="3"/>
      <c r="F29" s="4" t="s">
        <v>45</v>
      </c>
      <c r="G29" s="2"/>
      <c r="H29" s="3"/>
    </row>
    <row r="30">
      <c r="B30" s="6" t="s">
        <v>2</v>
      </c>
      <c r="C30" s="11" t="s">
        <v>3</v>
      </c>
      <c r="D30" s="8"/>
      <c r="F30" s="9" t="s">
        <v>2</v>
      </c>
      <c r="G30" s="11" t="s">
        <v>3</v>
      </c>
      <c r="H30" s="12"/>
      <c r="K30" s="61"/>
      <c r="L30" s="49"/>
    </row>
    <row r="31">
      <c r="B31" s="15" t="s">
        <v>58</v>
      </c>
      <c r="C31" s="7">
        <f>28.19+33.82+28.19+56.38+14.99+57.77+61.4</f>
        <v>280.74</v>
      </c>
      <c r="D31" s="16" t="b">
        <v>1</v>
      </c>
      <c r="F31" s="15" t="s">
        <v>5</v>
      </c>
      <c r="G31" s="23">
        <f>155.46+48.78</f>
        <v>204.24</v>
      </c>
      <c r="H31" s="16" t="b">
        <v>1</v>
      </c>
      <c r="I31" s="82" t="s">
        <v>92</v>
      </c>
      <c r="K31" s="61"/>
      <c r="L31" s="49"/>
    </row>
    <row r="32">
      <c r="B32" s="59" t="s">
        <v>20</v>
      </c>
      <c r="C32" s="7"/>
      <c r="D32" s="16" t="b">
        <v>0</v>
      </c>
      <c r="F32" s="17" t="s">
        <v>52</v>
      </c>
      <c r="G32" s="23"/>
      <c r="H32" s="16" t="b">
        <v>0</v>
      </c>
      <c r="K32" s="61"/>
      <c r="L32" s="49"/>
    </row>
    <row r="33">
      <c r="B33" s="15" t="s">
        <v>44</v>
      </c>
      <c r="C33" s="23">
        <v>4.5</v>
      </c>
      <c r="D33" s="16" t="b">
        <v>1</v>
      </c>
      <c r="F33" s="6" t="s">
        <v>59</v>
      </c>
      <c r="G33" s="23"/>
      <c r="H33" s="16" t="b">
        <v>0</v>
      </c>
      <c r="K33" s="61"/>
      <c r="L33" s="49"/>
    </row>
    <row r="34">
      <c r="B34" s="6" t="s">
        <v>95</v>
      </c>
      <c r="C34" s="7">
        <v>324.95</v>
      </c>
      <c r="D34" s="16" t="b">
        <v>1</v>
      </c>
      <c r="F34" s="6" t="s">
        <v>54</v>
      </c>
      <c r="G34" s="23"/>
      <c r="H34" s="16" t="b">
        <v>0</v>
      </c>
      <c r="K34" s="61"/>
      <c r="L34" s="49"/>
    </row>
    <row r="35">
      <c r="B35" s="6" t="s">
        <v>98</v>
      </c>
      <c r="C35" s="7">
        <v>144.5</v>
      </c>
      <c r="D35" s="16" t="b">
        <v>1</v>
      </c>
      <c r="F35" s="30" t="s">
        <v>13</v>
      </c>
      <c r="G35" s="33">
        <f>SUM(G31:G34)</f>
        <v>204.24</v>
      </c>
      <c r="H35" s="34" t="b">
        <v>1</v>
      </c>
      <c r="K35" s="61"/>
      <c r="L35" s="49"/>
    </row>
    <row r="36">
      <c r="B36" s="6" t="s">
        <v>100</v>
      </c>
      <c r="C36" s="23">
        <f>145.83*2</f>
        <v>291.66</v>
      </c>
      <c r="D36" s="16" t="b">
        <v>1</v>
      </c>
      <c r="K36" s="61"/>
      <c r="L36" s="49"/>
    </row>
    <row r="37">
      <c r="B37" s="30" t="s">
        <v>13</v>
      </c>
      <c r="C37" s="31">
        <f>SUM(C31:C36)</f>
        <v>1046.35</v>
      </c>
      <c r="D37" s="34" t="b">
        <v>1</v>
      </c>
      <c r="K37" s="61"/>
      <c r="L37" s="49"/>
    </row>
    <row r="38">
      <c r="K38" s="61"/>
      <c r="L38" s="49"/>
    </row>
    <row r="39">
      <c r="F39" s="60"/>
      <c r="G39" s="63"/>
      <c r="K39" s="49"/>
      <c r="L39" s="49"/>
    </row>
    <row r="40">
      <c r="B40" s="37"/>
      <c r="F40" s="60"/>
      <c r="G40" s="63"/>
      <c r="K40" s="49"/>
      <c r="L40" s="49"/>
    </row>
    <row r="41">
      <c r="B41" s="4" t="s">
        <v>60</v>
      </c>
      <c r="C41" s="2"/>
      <c r="D41" s="3"/>
      <c r="F41" s="4" t="s">
        <v>61</v>
      </c>
      <c r="G41" s="2"/>
      <c r="H41" s="3"/>
      <c r="K41" s="49"/>
      <c r="L41" s="49"/>
    </row>
    <row r="42">
      <c r="B42" s="9" t="s">
        <v>2</v>
      </c>
      <c r="C42" s="11" t="s">
        <v>3</v>
      </c>
      <c r="D42" s="12"/>
      <c r="F42" s="9" t="s">
        <v>2</v>
      </c>
      <c r="G42" s="11" t="s">
        <v>3</v>
      </c>
      <c r="H42" s="12"/>
      <c r="K42" s="61"/>
      <c r="L42" s="49"/>
    </row>
    <row r="43">
      <c r="B43" s="15" t="s">
        <v>5</v>
      </c>
      <c r="C43" s="23">
        <v>156.1</v>
      </c>
      <c r="D43" s="16" t="b">
        <v>1</v>
      </c>
      <c r="F43" s="15" t="s">
        <v>5</v>
      </c>
      <c r="G43" s="23">
        <f>26.95+22.36+31.1+28.9</f>
        <v>109.31</v>
      </c>
      <c r="H43" s="16" t="b">
        <v>0</v>
      </c>
      <c r="K43" s="49"/>
      <c r="L43" s="49"/>
    </row>
    <row r="44">
      <c r="B44" s="17" t="s">
        <v>102</v>
      </c>
      <c r="C44" s="23">
        <v>65.8</v>
      </c>
      <c r="D44" s="16" t="b">
        <v>1</v>
      </c>
      <c r="F44" s="17" t="s">
        <v>65</v>
      </c>
      <c r="G44" s="23">
        <v>0.0</v>
      </c>
      <c r="H44" s="16" t="b">
        <v>0</v>
      </c>
      <c r="K44" s="49"/>
      <c r="L44" s="66"/>
    </row>
    <row r="45">
      <c r="B45" s="15" t="s">
        <v>6</v>
      </c>
      <c r="C45" s="23"/>
      <c r="D45" s="16" t="b">
        <v>0</v>
      </c>
      <c r="F45" s="6" t="s">
        <v>68</v>
      </c>
      <c r="G45" s="23">
        <v>0.0</v>
      </c>
      <c r="H45" s="16" t="b">
        <v>0</v>
      </c>
      <c r="L45" s="25"/>
    </row>
    <row r="46">
      <c r="B46" s="6" t="s">
        <v>104</v>
      </c>
      <c r="C46" s="23">
        <v>307.8</v>
      </c>
      <c r="D46" s="16" t="b">
        <v>1</v>
      </c>
      <c r="F46" s="6"/>
      <c r="G46" s="23"/>
      <c r="H46" s="16" t="b">
        <v>0</v>
      </c>
      <c r="L46" s="25"/>
    </row>
    <row r="47">
      <c r="B47" s="64" t="s">
        <v>13</v>
      </c>
      <c r="C47" s="33">
        <f>SUM(C43:C46)</f>
        <v>529.7</v>
      </c>
      <c r="D47" s="34" t="b">
        <v>1</v>
      </c>
      <c r="F47" s="64" t="s">
        <v>13</v>
      </c>
      <c r="G47" s="33">
        <f>SUM(G43:G46)</f>
        <v>109.31</v>
      </c>
      <c r="H47" s="34" t="b">
        <v>1</v>
      </c>
      <c r="L47" s="25"/>
    </row>
    <row r="48">
      <c r="B48" s="37"/>
      <c r="L48" s="36"/>
    </row>
    <row r="49">
      <c r="B49" s="37"/>
    </row>
    <row r="50">
      <c r="B50" s="37"/>
      <c r="E50" s="49"/>
      <c r="F50" s="49"/>
    </row>
    <row r="51">
      <c r="B51" s="4" t="s">
        <v>72</v>
      </c>
      <c r="C51" s="2"/>
      <c r="D51" s="3"/>
      <c r="E51" s="49"/>
      <c r="F51" s="65" t="s">
        <v>73</v>
      </c>
      <c r="G51" s="2"/>
      <c r="H51" s="3"/>
    </row>
    <row r="52">
      <c r="B52" s="9" t="s">
        <v>2</v>
      </c>
      <c r="C52" s="11" t="s">
        <v>3</v>
      </c>
      <c r="D52" s="12"/>
      <c r="E52" s="49"/>
      <c r="F52" s="67" t="s">
        <v>2</v>
      </c>
      <c r="G52" s="68" t="s">
        <v>3</v>
      </c>
      <c r="H52" s="69"/>
    </row>
    <row r="53">
      <c r="B53" s="22" t="s">
        <v>78</v>
      </c>
      <c r="C53" s="23">
        <v>498.3</v>
      </c>
      <c r="D53" s="16" t="b">
        <v>1</v>
      </c>
      <c r="E53" s="49"/>
      <c r="F53" s="70" t="s">
        <v>36</v>
      </c>
      <c r="G53" s="71">
        <f>24.2+12.8+12.7+4.4+24.1+20.9+9+12.2+22.9</f>
        <v>143.2</v>
      </c>
      <c r="H53" s="72" t="b">
        <v>1</v>
      </c>
    </row>
    <row r="54">
      <c r="B54" s="15" t="s">
        <v>6</v>
      </c>
      <c r="C54" s="23"/>
      <c r="D54" s="16" t="b">
        <v>0</v>
      </c>
      <c r="E54" s="49"/>
      <c r="F54" s="73"/>
      <c r="G54" s="74"/>
      <c r="H54" s="75" t="b">
        <v>0</v>
      </c>
    </row>
    <row r="55">
      <c r="B55" s="6"/>
      <c r="C55" s="23"/>
      <c r="D55" s="16" t="b">
        <v>0</v>
      </c>
      <c r="E55" s="49"/>
      <c r="F55" s="73"/>
      <c r="G55" s="76"/>
      <c r="H55" s="75" t="b">
        <v>0</v>
      </c>
    </row>
    <row r="56">
      <c r="B56" s="6"/>
      <c r="C56" s="23"/>
      <c r="D56" s="16" t="b">
        <v>0</v>
      </c>
      <c r="E56" s="49"/>
      <c r="F56" s="73"/>
      <c r="G56" s="76"/>
      <c r="H56" s="75" t="b">
        <v>0</v>
      </c>
    </row>
    <row r="57">
      <c r="B57" s="64" t="s">
        <v>13</v>
      </c>
      <c r="C57" s="33">
        <f>SUM(C53:C56)</f>
        <v>498.3</v>
      </c>
      <c r="D57" s="34" t="b">
        <v>1</v>
      </c>
      <c r="E57" s="49"/>
      <c r="F57" s="77"/>
      <c r="G57" s="78"/>
      <c r="H57" s="75" t="b">
        <v>0</v>
      </c>
    </row>
    <row r="58">
      <c r="B58" s="37"/>
      <c r="E58" s="49"/>
      <c r="F58" s="79" t="s">
        <v>13</v>
      </c>
      <c r="G58" s="80">
        <f>SUM(G53:G57)</f>
        <v>143.2</v>
      </c>
      <c r="H58" s="81" t="b">
        <v>1</v>
      </c>
    </row>
    <row r="59">
      <c r="B59" s="37"/>
    </row>
    <row r="60">
      <c r="B60" s="37"/>
    </row>
    <row r="61">
      <c r="B61" s="37"/>
    </row>
    <row r="62">
      <c r="B62" s="37"/>
    </row>
    <row r="63">
      <c r="B63" s="37"/>
    </row>
    <row r="64">
      <c r="B64" s="37"/>
    </row>
    <row r="65">
      <c r="B65" s="37"/>
    </row>
    <row r="66">
      <c r="B66" s="37"/>
    </row>
    <row r="67">
      <c r="B67" s="37"/>
    </row>
    <row r="68">
      <c r="B68" s="37"/>
    </row>
    <row r="69">
      <c r="B69" s="37"/>
    </row>
    <row r="70">
      <c r="B70" s="37"/>
    </row>
    <row r="71">
      <c r="B71" s="37"/>
    </row>
    <row r="72">
      <c r="B72" s="37"/>
    </row>
    <row r="73">
      <c r="B73" s="37"/>
    </row>
    <row r="74">
      <c r="B74" s="37"/>
    </row>
    <row r="75">
      <c r="B75" s="37"/>
    </row>
    <row r="76">
      <c r="B76" s="37"/>
    </row>
    <row r="77">
      <c r="B77" s="37"/>
    </row>
    <row r="78">
      <c r="B78" s="37"/>
    </row>
    <row r="79">
      <c r="B79" s="37"/>
    </row>
    <row r="80">
      <c r="B80" s="37"/>
    </row>
    <row r="81">
      <c r="B81" s="37"/>
    </row>
    <row r="82">
      <c r="B82" s="37"/>
    </row>
    <row r="83">
      <c r="B83" s="37"/>
    </row>
    <row r="84">
      <c r="B84" s="37"/>
    </row>
    <row r="85">
      <c r="B85" s="37"/>
    </row>
    <row r="86">
      <c r="B86" s="37"/>
    </row>
    <row r="87">
      <c r="B87" s="37"/>
    </row>
    <row r="88">
      <c r="B88" s="37"/>
    </row>
    <row r="89">
      <c r="B89" s="37"/>
    </row>
    <row r="90">
      <c r="B90" s="37"/>
    </row>
    <row r="91">
      <c r="B91" s="37"/>
    </row>
    <row r="92">
      <c r="B92" s="37"/>
    </row>
    <row r="93">
      <c r="B93" s="37"/>
    </row>
    <row r="94">
      <c r="B94" s="37"/>
    </row>
    <row r="95">
      <c r="B95" s="37"/>
    </row>
    <row r="96">
      <c r="B96" s="37"/>
    </row>
    <row r="97">
      <c r="B97" s="37"/>
    </row>
    <row r="98">
      <c r="B98" s="37"/>
    </row>
    <row r="99">
      <c r="B99" s="37"/>
    </row>
    <row r="100">
      <c r="B100" s="37"/>
    </row>
    <row r="101">
      <c r="B101" s="37"/>
    </row>
    <row r="102">
      <c r="B102" s="37"/>
    </row>
    <row r="103">
      <c r="B103" s="37"/>
    </row>
    <row r="104">
      <c r="B104" s="37"/>
    </row>
    <row r="105">
      <c r="B105" s="37"/>
    </row>
    <row r="106">
      <c r="B106" s="37"/>
    </row>
    <row r="107">
      <c r="B107" s="37"/>
    </row>
    <row r="108">
      <c r="B108" s="37"/>
    </row>
    <row r="109">
      <c r="B109" s="37"/>
    </row>
    <row r="110">
      <c r="B110" s="37"/>
    </row>
    <row r="111">
      <c r="B111" s="37"/>
    </row>
    <row r="112">
      <c r="B112" s="37"/>
    </row>
    <row r="113">
      <c r="B113" s="37"/>
    </row>
    <row r="114">
      <c r="B114" s="37"/>
    </row>
    <row r="115">
      <c r="B115" s="37"/>
    </row>
    <row r="116">
      <c r="B116" s="37"/>
    </row>
    <row r="117">
      <c r="B117" s="37"/>
    </row>
    <row r="118">
      <c r="B118" s="37"/>
    </row>
    <row r="119">
      <c r="B119" s="37"/>
    </row>
    <row r="120">
      <c r="B120" s="37"/>
    </row>
    <row r="121">
      <c r="B121" s="37"/>
    </row>
    <row r="122">
      <c r="B122" s="37"/>
    </row>
    <row r="123">
      <c r="B123" s="37"/>
    </row>
    <row r="124">
      <c r="B124" s="37"/>
    </row>
    <row r="125">
      <c r="B125" s="37"/>
    </row>
    <row r="126">
      <c r="B126" s="37"/>
    </row>
    <row r="127">
      <c r="B127" s="37"/>
    </row>
    <row r="128">
      <c r="B128" s="37"/>
    </row>
    <row r="129">
      <c r="B129" s="37"/>
    </row>
    <row r="130">
      <c r="B130" s="37"/>
    </row>
    <row r="131">
      <c r="B131" s="37"/>
    </row>
    <row r="132">
      <c r="B132" s="37"/>
    </row>
    <row r="133">
      <c r="B133" s="37"/>
    </row>
    <row r="134">
      <c r="B134" s="37"/>
    </row>
    <row r="135">
      <c r="B135" s="37"/>
    </row>
    <row r="136">
      <c r="B136" s="37"/>
    </row>
    <row r="137">
      <c r="B137" s="37"/>
    </row>
    <row r="138">
      <c r="B138" s="37"/>
    </row>
    <row r="139">
      <c r="B139" s="37"/>
    </row>
    <row r="140">
      <c r="B140" s="37"/>
    </row>
    <row r="141">
      <c r="B141" s="37"/>
    </row>
    <row r="142">
      <c r="B142" s="37"/>
    </row>
    <row r="143">
      <c r="B143" s="37"/>
    </row>
    <row r="144">
      <c r="B144" s="37"/>
    </row>
    <row r="145">
      <c r="B145" s="37"/>
    </row>
    <row r="146">
      <c r="B146" s="37"/>
    </row>
    <row r="147">
      <c r="B147" s="37"/>
    </row>
    <row r="148">
      <c r="B148" s="37"/>
    </row>
    <row r="149">
      <c r="B149" s="37"/>
    </row>
    <row r="150">
      <c r="B150" s="37"/>
    </row>
    <row r="151">
      <c r="B151" s="37"/>
    </row>
    <row r="152">
      <c r="B152" s="37"/>
    </row>
    <row r="153">
      <c r="B153" s="37"/>
    </row>
    <row r="154">
      <c r="B154" s="37"/>
    </row>
    <row r="155">
      <c r="B155" s="37"/>
    </row>
    <row r="156">
      <c r="B156" s="37"/>
    </row>
    <row r="157">
      <c r="B157" s="37"/>
    </row>
    <row r="158">
      <c r="B158" s="37"/>
    </row>
    <row r="159">
      <c r="B159" s="37"/>
    </row>
    <row r="160">
      <c r="B160" s="37"/>
    </row>
    <row r="161">
      <c r="B161" s="37"/>
    </row>
    <row r="162">
      <c r="B162" s="37"/>
    </row>
    <row r="163">
      <c r="B163" s="37"/>
    </row>
    <row r="164">
      <c r="B164" s="37"/>
    </row>
    <row r="165">
      <c r="B165" s="37"/>
    </row>
    <row r="166">
      <c r="B166" s="37"/>
    </row>
    <row r="167">
      <c r="B167" s="37"/>
    </row>
    <row r="168">
      <c r="B168" s="37"/>
    </row>
    <row r="169">
      <c r="B169" s="37"/>
    </row>
    <row r="170">
      <c r="B170" s="37"/>
    </row>
    <row r="171">
      <c r="B171" s="37"/>
    </row>
    <row r="172">
      <c r="B172" s="37"/>
    </row>
    <row r="173">
      <c r="B173" s="37"/>
    </row>
    <row r="174">
      <c r="B174" s="37"/>
    </row>
    <row r="175">
      <c r="B175" s="37"/>
    </row>
    <row r="176">
      <c r="B176" s="37"/>
    </row>
    <row r="177">
      <c r="B177" s="37"/>
    </row>
    <row r="178">
      <c r="B178" s="37"/>
    </row>
    <row r="179">
      <c r="B179" s="37"/>
    </row>
    <row r="180">
      <c r="B180" s="37"/>
    </row>
    <row r="181">
      <c r="B181" s="37"/>
    </row>
    <row r="182">
      <c r="B182" s="37"/>
    </row>
    <row r="183">
      <c r="B183" s="37"/>
    </row>
    <row r="184">
      <c r="B184" s="37"/>
    </row>
    <row r="185">
      <c r="B185" s="37"/>
    </row>
    <row r="186">
      <c r="B186" s="37"/>
    </row>
    <row r="187">
      <c r="B187" s="37"/>
    </row>
    <row r="188">
      <c r="B188" s="37"/>
    </row>
    <row r="189">
      <c r="B189" s="37"/>
    </row>
    <row r="190">
      <c r="B190" s="37"/>
    </row>
    <row r="191">
      <c r="B191" s="37"/>
    </row>
    <row r="192">
      <c r="B192" s="37"/>
    </row>
    <row r="193">
      <c r="B193" s="37"/>
    </row>
    <row r="194">
      <c r="B194" s="37"/>
    </row>
    <row r="195">
      <c r="B195" s="37"/>
    </row>
    <row r="196">
      <c r="B196" s="37"/>
    </row>
    <row r="197">
      <c r="B197" s="37"/>
    </row>
    <row r="198">
      <c r="B198" s="37"/>
    </row>
    <row r="199">
      <c r="B199" s="37"/>
    </row>
    <row r="200">
      <c r="B200" s="37"/>
    </row>
    <row r="201">
      <c r="B201" s="37"/>
    </row>
    <row r="202">
      <c r="B202" s="37"/>
    </row>
    <row r="203">
      <c r="B203" s="37"/>
    </row>
    <row r="204">
      <c r="B204" s="37"/>
    </row>
    <row r="205">
      <c r="B205" s="37"/>
    </row>
    <row r="206">
      <c r="B206" s="37"/>
    </row>
    <row r="207">
      <c r="B207" s="37"/>
    </row>
    <row r="208">
      <c r="B208" s="37"/>
    </row>
    <row r="209">
      <c r="B209" s="37"/>
    </row>
    <row r="210">
      <c r="B210" s="37"/>
    </row>
    <row r="211">
      <c r="B211" s="37"/>
    </row>
    <row r="212">
      <c r="B212" s="37"/>
    </row>
    <row r="213">
      <c r="B213" s="37"/>
    </row>
    <row r="214">
      <c r="B214" s="37"/>
    </row>
    <row r="215">
      <c r="B215" s="37"/>
    </row>
    <row r="216">
      <c r="B216" s="37"/>
    </row>
    <row r="217">
      <c r="B217" s="37"/>
    </row>
    <row r="218">
      <c r="B218" s="37"/>
    </row>
    <row r="219">
      <c r="B219" s="37"/>
    </row>
    <row r="220">
      <c r="B220" s="37"/>
    </row>
    <row r="221">
      <c r="B221" s="37"/>
    </row>
    <row r="222">
      <c r="B222" s="37"/>
    </row>
    <row r="223">
      <c r="B223" s="37"/>
    </row>
    <row r="224">
      <c r="B224" s="37"/>
    </row>
    <row r="225">
      <c r="B225" s="37"/>
    </row>
    <row r="226">
      <c r="B226" s="37"/>
    </row>
    <row r="227">
      <c r="B227" s="37"/>
    </row>
    <row r="228">
      <c r="B228" s="37"/>
    </row>
    <row r="229">
      <c r="B229" s="37"/>
    </row>
    <row r="230">
      <c r="B230" s="37"/>
    </row>
    <row r="231">
      <c r="B231" s="37"/>
    </row>
    <row r="232">
      <c r="B232" s="37"/>
    </row>
    <row r="233">
      <c r="B233" s="37"/>
    </row>
    <row r="234">
      <c r="B234" s="37"/>
    </row>
    <row r="235">
      <c r="B235" s="37"/>
    </row>
    <row r="236">
      <c r="B236" s="37"/>
    </row>
    <row r="237">
      <c r="B237" s="37"/>
    </row>
    <row r="238">
      <c r="B238" s="37"/>
    </row>
    <row r="239">
      <c r="B239" s="37"/>
    </row>
    <row r="240">
      <c r="B240" s="37"/>
    </row>
    <row r="241">
      <c r="B241" s="37"/>
    </row>
    <row r="242">
      <c r="B242" s="37"/>
    </row>
    <row r="243">
      <c r="B243" s="37"/>
    </row>
    <row r="244">
      <c r="B244" s="37"/>
    </row>
    <row r="245">
      <c r="B245" s="37"/>
    </row>
    <row r="246">
      <c r="B246" s="37"/>
    </row>
    <row r="247">
      <c r="B247" s="37"/>
    </row>
    <row r="248">
      <c r="B248" s="37"/>
    </row>
    <row r="249">
      <c r="B249" s="37"/>
    </row>
    <row r="250">
      <c r="B250" s="37"/>
    </row>
    <row r="251">
      <c r="B251" s="37"/>
    </row>
    <row r="252">
      <c r="B252" s="37"/>
    </row>
    <row r="253">
      <c r="B253" s="37"/>
    </row>
    <row r="254">
      <c r="B254" s="37"/>
    </row>
    <row r="255">
      <c r="B255" s="37"/>
    </row>
    <row r="256">
      <c r="B256" s="37"/>
    </row>
    <row r="257">
      <c r="B257" s="37"/>
    </row>
    <row r="258">
      <c r="B258" s="37"/>
    </row>
    <row r="259">
      <c r="B259" s="37"/>
    </row>
    <row r="260">
      <c r="B260" s="37"/>
    </row>
    <row r="261">
      <c r="B261" s="37"/>
    </row>
    <row r="262">
      <c r="B262" s="37"/>
    </row>
    <row r="263">
      <c r="B263" s="37"/>
    </row>
    <row r="264">
      <c r="B264" s="37"/>
    </row>
    <row r="265">
      <c r="B265" s="37"/>
    </row>
    <row r="266">
      <c r="B266" s="37"/>
    </row>
    <row r="267">
      <c r="B267" s="37"/>
    </row>
    <row r="268">
      <c r="B268" s="37"/>
    </row>
    <row r="269">
      <c r="B269" s="37"/>
    </row>
    <row r="270">
      <c r="B270" s="37"/>
    </row>
    <row r="271">
      <c r="B271" s="37"/>
    </row>
    <row r="272">
      <c r="B272" s="37"/>
    </row>
    <row r="273">
      <c r="B273" s="37"/>
    </row>
    <row r="274">
      <c r="B274" s="37"/>
    </row>
    <row r="275">
      <c r="B275" s="37"/>
    </row>
    <row r="276">
      <c r="B276" s="37"/>
    </row>
    <row r="277">
      <c r="B277" s="37"/>
    </row>
    <row r="278">
      <c r="B278" s="37"/>
    </row>
    <row r="279">
      <c r="B279" s="37"/>
    </row>
    <row r="280">
      <c r="B280" s="37"/>
    </row>
    <row r="281">
      <c r="B281" s="37"/>
    </row>
    <row r="282">
      <c r="B282" s="37"/>
    </row>
    <row r="283">
      <c r="B283" s="37"/>
    </row>
    <row r="284">
      <c r="B284" s="37"/>
    </row>
    <row r="285">
      <c r="B285" s="37"/>
    </row>
    <row r="286">
      <c r="B286" s="37"/>
    </row>
    <row r="287">
      <c r="B287" s="37"/>
    </row>
    <row r="288">
      <c r="B288" s="37"/>
    </row>
    <row r="289">
      <c r="B289" s="37"/>
    </row>
    <row r="290">
      <c r="B290" s="37"/>
    </row>
    <row r="291">
      <c r="B291" s="37"/>
    </row>
    <row r="292">
      <c r="B292" s="37"/>
    </row>
    <row r="293">
      <c r="B293" s="37"/>
    </row>
    <row r="294">
      <c r="B294" s="37"/>
    </row>
    <row r="295">
      <c r="B295" s="37"/>
    </row>
    <row r="296">
      <c r="B296" s="37"/>
    </row>
    <row r="297">
      <c r="B297" s="37"/>
    </row>
    <row r="298">
      <c r="B298" s="37"/>
    </row>
    <row r="299">
      <c r="B299" s="37"/>
    </row>
    <row r="300">
      <c r="B300" s="37"/>
    </row>
    <row r="301">
      <c r="B301" s="37"/>
    </row>
    <row r="302">
      <c r="B302" s="37"/>
    </row>
    <row r="303">
      <c r="B303" s="37"/>
    </row>
    <row r="304">
      <c r="B304" s="37"/>
    </row>
    <row r="305">
      <c r="B305" s="37"/>
    </row>
    <row r="306">
      <c r="B306" s="37"/>
    </row>
    <row r="307">
      <c r="B307" s="37"/>
    </row>
    <row r="308">
      <c r="B308" s="37"/>
    </row>
    <row r="309">
      <c r="B309" s="37"/>
    </row>
    <row r="310">
      <c r="B310" s="37"/>
    </row>
    <row r="311">
      <c r="B311" s="37"/>
    </row>
    <row r="312">
      <c r="B312" s="37"/>
    </row>
    <row r="313">
      <c r="B313" s="37"/>
    </row>
    <row r="314">
      <c r="B314" s="37"/>
    </row>
    <row r="315">
      <c r="B315" s="37"/>
    </row>
    <row r="316">
      <c r="B316" s="37"/>
    </row>
    <row r="317">
      <c r="B317" s="37"/>
    </row>
    <row r="318">
      <c r="B318" s="37"/>
    </row>
    <row r="319">
      <c r="B319" s="37"/>
    </row>
    <row r="320">
      <c r="B320" s="37"/>
    </row>
    <row r="321">
      <c r="B321" s="37"/>
    </row>
    <row r="322">
      <c r="B322" s="37"/>
    </row>
    <row r="323">
      <c r="B323" s="37"/>
    </row>
    <row r="324">
      <c r="B324" s="37"/>
    </row>
    <row r="325">
      <c r="B325" s="37"/>
    </row>
    <row r="326">
      <c r="B326" s="37"/>
    </row>
    <row r="327">
      <c r="B327" s="37"/>
    </row>
    <row r="328">
      <c r="B328" s="37"/>
    </row>
    <row r="329">
      <c r="B329" s="37"/>
    </row>
    <row r="330">
      <c r="B330" s="37"/>
    </row>
    <row r="331">
      <c r="B331" s="37"/>
    </row>
    <row r="332">
      <c r="B332" s="37"/>
    </row>
    <row r="333">
      <c r="B333" s="37"/>
    </row>
    <row r="334">
      <c r="B334" s="37"/>
    </row>
    <row r="335">
      <c r="B335" s="37"/>
    </row>
    <row r="336">
      <c r="B336" s="37"/>
    </row>
    <row r="337">
      <c r="B337" s="37"/>
    </row>
    <row r="338">
      <c r="B338" s="37"/>
    </row>
    <row r="339">
      <c r="B339" s="37"/>
    </row>
    <row r="340">
      <c r="B340" s="37"/>
    </row>
    <row r="341">
      <c r="B341" s="37"/>
    </row>
    <row r="342">
      <c r="B342" s="37"/>
    </row>
    <row r="343">
      <c r="B343" s="37"/>
    </row>
    <row r="344">
      <c r="B344" s="37"/>
    </row>
    <row r="345">
      <c r="B345" s="37"/>
    </row>
    <row r="346">
      <c r="B346" s="37"/>
    </row>
    <row r="347">
      <c r="B347" s="37"/>
    </row>
    <row r="348">
      <c r="B348" s="37"/>
    </row>
    <row r="349">
      <c r="B349" s="37"/>
    </row>
    <row r="350">
      <c r="B350" s="37"/>
    </row>
    <row r="351">
      <c r="B351" s="37"/>
    </row>
    <row r="352">
      <c r="B352" s="37"/>
    </row>
    <row r="353">
      <c r="B353" s="37"/>
    </row>
    <row r="354">
      <c r="B354" s="37"/>
    </row>
    <row r="355">
      <c r="B355" s="37"/>
    </row>
    <row r="356">
      <c r="B356" s="37"/>
    </row>
    <row r="357">
      <c r="B357" s="37"/>
    </row>
    <row r="358">
      <c r="B358" s="37"/>
    </row>
    <row r="359">
      <c r="B359" s="37"/>
    </row>
    <row r="360">
      <c r="B360" s="37"/>
    </row>
    <row r="361">
      <c r="B361" s="37"/>
    </row>
    <row r="362">
      <c r="B362" s="37"/>
    </row>
    <row r="363">
      <c r="B363" s="37"/>
    </row>
    <row r="364">
      <c r="B364" s="37"/>
    </row>
    <row r="365">
      <c r="B365" s="37"/>
    </row>
    <row r="366">
      <c r="B366" s="37"/>
    </row>
    <row r="367">
      <c r="B367" s="37"/>
    </row>
    <row r="368">
      <c r="B368" s="37"/>
    </row>
    <row r="369">
      <c r="B369" s="37"/>
    </row>
    <row r="370">
      <c r="B370" s="37"/>
    </row>
    <row r="371">
      <c r="B371" s="37"/>
    </row>
    <row r="372">
      <c r="B372" s="37"/>
    </row>
    <row r="373">
      <c r="B373" s="37"/>
    </row>
    <row r="374">
      <c r="B374" s="37"/>
    </row>
    <row r="375">
      <c r="B375" s="37"/>
    </row>
    <row r="376">
      <c r="B376" s="37"/>
    </row>
    <row r="377">
      <c r="B377" s="37"/>
    </row>
    <row r="378">
      <c r="B378" s="37"/>
    </row>
    <row r="379">
      <c r="B379" s="37"/>
    </row>
    <row r="380">
      <c r="B380" s="37"/>
    </row>
    <row r="381">
      <c r="B381" s="37"/>
    </row>
    <row r="382">
      <c r="B382" s="37"/>
    </row>
    <row r="383">
      <c r="B383" s="37"/>
    </row>
    <row r="384">
      <c r="B384" s="37"/>
    </row>
    <row r="385">
      <c r="B385" s="37"/>
    </row>
    <row r="386">
      <c r="B386" s="37"/>
    </row>
    <row r="387">
      <c r="B387" s="37"/>
    </row>
    <row r="388">
      <c r="B388" s="37"/>
    </row>
    <row r="389">
      <c r="B389" s="37"/>
    </row>
    <row r="390">
      <c r="B390" s="37"/>
    </row>
    <row r="391">
      <c r="B391" s="37"/>
    </row>
    <row r="392">
      <c r="B392" s="37"/>
    </row>
    <row r="393">
      <c r="B393" s="37"/>
    </row>
    <row r="394">
      <c r="B394" s="37"/>
    </row>
    <row r="395">
      <c r="B395" s="37"/>
    </row>
    <row r="396">
      <c r="B396" s="37"/>
    </row>
    <row r="397">
      <c r="B397" s="37"/>
    </row>
    <row r="398">
      <c r="B398" s="37"/>
    </row>
    <row r="399">
      <c r="B399" s="37"/>
    </row>
    <row r="400">
      <c r="B400" s="37"/>
    </row>
    <row r="401">
      <c r="B401" s="37"/>
    </row>
    <row r="402">
      <c r="B402" s="37"/>
    </row>
    <row r="403">
      <c r="B403" s="37"/>
    </row>
    <row r="404">
      <c r="B404" s="37"/>
    </row>
    <row r="405">
      <c r="B405" s="37"/>
    </row>
    <row r="406">
      <c r="B406" s="37"/>
    </row>
    <row r="407">
      <c r="B407" s="37"/>
    </row>
    <row r="408">
      <c r="B408" s="37"/>
    </row>
    <row r="409">
      <c r="B409" s="37"/>
    </row>
    <row r="410">
      <c r="B410" s="37"/>
    </row>
    <row r="411">
      <c r="B411" s="37"/>
    </row>
    <row r="412">
      <c r="B412" s="37"/>
    </row>
    <row r="413">
      <c r="B413" s="37"/>
    </row>
    <row r="414">
      <c r="B414" s="37"/>
    </row>
    <row r="415">
      <c r="B415" s="37"/>
    </row>
    <row r="416">
      <c r="B416" s="37"/>
    </row>
    <row r="417">
      <c r="B417" s="37"/>
    </row>
    <row r="418">
      <c r="B418" s="37"/>
    </row>
    <row r="419">
      <c r="B419" s="37"/>
    </row>
    <row r="420">
      <c r="B420" s="37"/>
    </row>
    <row r="421">
      <c r="B421" s="37"/>
    </row>
    <row r="422">
      <c r="B422" s="37"/>
    </row>
    <row r="423">
      <c r="B423" s="37"/>
    </row>
    <row r="424">
      <c r="B424" s="37"/>
    </row>
    <row r="425">
      <c r="B425" s="37"/>
    </row>
    <row r="426">
      <c r="B426" s="37"/>
    </row>
    <row r="427">
      <c r="B427" s="37"/>
    </row>
    <row r="428">
      <c r="B428" s="37"/>
    </row>
    <row r="429">
      <c r="B429" s="37"/>
    </row>
    <row r="430">
      <c r="B430" s="37"/>
    </row>
    <row r="431">
      <c r="B431" s="37"/>
    </row>
    <row r="432">
      <c r="B432" s="37"/>
    </row>
    <row r="433">
      <c r="B433" s="37"/>
    </row>
    <row r="434">
      <c r="B434" s="37"/>
    </row>
    <row r="435">
      <c r="B435" s="37"/>
    </row>
    <row r="436">
      <c r="B436" s="37"/>
    </row>
    <row r="437">
      <c r="B437" s="37"/>
    </row>
    <row r="438">
      <c r="B438" s="37"/>
    </row>
    <row r="439">
      <c r="B439" s="37"/>
    </row>
    <row r="440">
      <c r="B440" s="37"/>
    </row>
    <row r="441">
      <c r="B441" s="37"/>
    </row>
    <row r="442">
      <c r="B442" s="37"/>
    </row>
    <row r="443">
      <c r="B443" s="37"/>
    </row>
    <row r="444">
      <c r="B444" s="37"/>
    </row>
    <row r="445">
      <c r="B445" s="37"/>
    </row>
    <row r="446">
      <c r="B446" s="37"/>
    </row>
    <row r="447">
      <c r="B447" s="37"/>
    </row>
    <row r="448">
      <c r="B448" s="37"/>
    </row>
    <row r="449">
      <c r="B449" s="37"/>
    </row>
    <row r="450">
      <c r="B450" s="37"/>
    </row>
    <row r="451">
      <c r="B451" s="37"/>
    </row>
    <row r="452">
      <c r="B452" s="37"/>
    </row>
    <row r="453">
      <c r="B453" s="37"/>
    </row>
    <row r="454">
      <c r="B454" s="37"/>
    </row>
    <row r="455">
      <c r="B455" s="37"/>
    </row>
    <row r="456">
      <c r="B456" s="37"/>
    </row>
    <row r="457">
      <c r="B457" s="37"/>
    </row>
    <row r="458">
      <c r="B458" s="37"/>
    </row>
    <row r="459">
      <c r="B459" s="37"/>
    </row>
    <row r="460">
      <c r="B460" s="37"/>
    </row>
    <row r="461">
      <c r="B461" s="37"/>
    </row>
    <row r="462">
      <c r="B462" s="37"/>
    </row>
    <row r="463">
      <c r="B463" s="37"/>
    </row>
    <row r="464">
      <c r="B464" s="37"/>
    </row>
    <row r="465">
      <c r="B465" s="37"/>
    </row>
    <row r="466">
      <c r="B466" s="37"/>
    </row>
    <row r="467">
      <c r="B467" s="37"/>
    </row>
    <row r="468">
      <c r="B468" s="37"/>
    </row>
    <row r="469">
      <c r="B469" s="37"/>
    </row>
    <row r="470">
      <c r="B470" s="37"/>
    </row>
    <row r="471">
      <c r="B471" s="37"/>
    </row>
    <row r="472">
      <c r="B472" s="37"/>
    </row>
    <row r="473">
      <c r="B473" s="37"/>
    </row>
    <row r="474">
      <c r="B474" s="37"/>
    </row>
    <row r="475">
      <c r="B475" s="37"/>
    </row>
    <row r="476">
      <c r="B476" s="37"/>
    </row>
    <row r="477">
      <c r="B477" s="37"/>
    </row>
    <row r="478">
      <c r="B478" s="37"/>
    </row>
    <row r="479">
      <c r="B479" s="37"/>
    </row>
    <row r="480">
      <c r="B480" s="37"/>
    </row>
    <row r="481">
      <c r="B481" s="37"/>
    </row>
    <row r="482">
      <c r="B482" s="37"/>
    </row>
    <row r="483">
      <c r="B483" s="37"/>
    </row>
    <row r="484">
      <c r="B484" s="37"/>
    </row>
    <row r="485">
      <c r="B485" s="37"/>
    </row>
    <row r="486">
      <c r="B486" s="37"/>
    </row>
    <row r="487">
      <c r="B487" s="37"/>
    </row>
    <row r="488">
      <c r="B488" s="37"/>
    </row>
    <row r="489">
      <c r="B489" s="37"/>
    </row>
    <row r="490">
      <c r="B490" s="37"/>
    </row>
    <row r="491">
      <c r="B491" s="37"/>
    </row>
    <row r="492">
      <c r="B492" s="37"/>
    </row>
    <row r="493">
      <c r="B493" s="37"/>
    </row>
    <row r="494">
      <c r="B494" s="37"/>
    </row>
    <row r="495">
      <c r="B495" s="37"/>
    </row>
    <row r="496">
      <c r="B496" s="37"/>
    </row>
    <row r="497">
      <c r="B497" s="37"/>
    </row>
    <row r="498">
      <c r="B498" s="37"/>
    </row>
    <row r="499">
      <c r="B499" s="37"/>
    </row>
    <row r="500">
      <c r="B500" s="37"/>
    </row>
    <row r="501">
      <c r="B501" s="37"/>
    </row>
    <row r="502">
      <c r="B502" s="37"/>
    </row>
    <row r="503">
      <c r="B503" s="37"/>
    </row>
    <row r="504">
      <c r="B504" s="37"/>
    </row>
    <row r="505">
      <c r="B505" s="37"/>
    </row>
    <row r="506">
      <c r="B506" s="37"/>
    </row>
    <row r="507">
      <c r="B507" s="37"/>
    </row>
    <row r="508">
      <c r="B508" s="37"/>
    </row>
    <row r="509">
      <c r="B509" s="37"/>
    </row>
    <row r="510">
      <c r="B510" s="37"/>
    </row>
    <row r="511">
      <c r="B511" s="37"/>
    </row>
    <row r="512">
      <c r="B512" s="37"/>
    </row>
    <row r="513">
      <c r="B513" s="37"/>
    </row>
    <row r="514">
      <c r="B514" s="37"/>
    </row>
    <row r="515">
      <c r="B515" s="37"/>
    </row>
    <row r="516">
      <c r="B516" s="37"/>
    </row>
    <row r="517">
      <c r="B517" s="37"/>
    </row>
    <row r="518">
      <c r="B518" s="37"/>
    </row>
    <row r="519">
      <c r="B519" s="37"/>
    </row>
    <row r="520">
      <c r="B520" s="37"/>
    </row>
    <row r="521">
      <c r="B521" s="37"/>
    </row>
    <row r="522">
      <c r="B522" s="37"/>
    </row>
    <row r="523">
      <c r="B523" s="37"/>
    </row>
    <row r="524">
      <c r="B524" s="37"/>
    </row>
    <row r="525">
      <c r="B525" s="37"/>
    </row>
    <row r="526">
      <c r="B526" s="37"/>
    </row>
    <row r="527">
      <c r="B527" s="37"/>
    </row>
    <row r="528">
      <c r="B528" s="37"/>
    </row>
    <row r="529">
      <c r="B529" s="37"/>
    </row>
    <row r="530">
      <c r="B530" s="37"/>
    </row>
    <row r="531">
      <c r="B531" s="37"/>
    </row>
    <row r="532">
      <c r="B532" s="37"/>
    </row>
    <row r="533">
      <c r="B533" s="37"/>
    </row>
    <row r="534">
      <c r="B534" s="37"/>
    </row>
    <row r="535">
      <c r="B535" s="37"/>
    </row>
    <row r="536">
      <c r="B536" s="37"/>
    </row>
    <row r="537">
      <c r="B537" s="37"/>
    </row>
    <row r="538">
      <c r="B538" s="37"/>
    </row>
    <row r="539">
      <c r="B539" s="37"/>
    </row>
    <row r="540">
      <c r="B540" s="37"/>
    </row>
    <row r="541">
      <c r="B541" s="37"/>
    </row>
    <row r="542">
      <c r="B542" s="37"/>
    </row>
    <row r="543">
      <c r="B543" s="37"/>
    </row>
    <row r="544">
      <c r="B544" s="37"/>
    </row>
    <row r="545">
      <c r="B545" s="37"/>
    </row>
    <row r="546">
      <c r="B546" s="37"/>
    </row>
    <row r="547">
      <c r="B547" s="37"/>
    </row>
    <row r="548">
      <c r="B548" s="37"/>
    </row>
    <row r="549">
      <c r="B549" s="37"/>
    </row>
    <row r="550">
      <c r="B550" s="37"/>
    </row>
    <row r="551">
      <c r="B551" s="37"/>
    </row>
    <row r="552">
      <c r="B552" s="37"/>
    </row>
    <row r="553">
      <c r="B553" s="37"/>
    </row>
    <row r="554">
      <c r="B554" s="37"/>
    </row>
    <row r="555">
      <c r="B555" s="37"/>
    </row>
    <row r="556">
      <c r="B556" s="37"/>
    </row>
    <row r="557">
      <c r="B557" s="37"/>
    </row>
    <row r="558">
      <c r="B558" s="37"/>
    </row>
    <row r="559">
      <c r="B559" s="37"/>
    </row>
    <row r="560">
      <c r="B560" s="37"/>
    </row>
    <row r="561">
      <c r="B561" s="37"/>
    </row>
    <row r="562">
      <c r="B562" s="37"/>
    </row>
    <row r="563">
      <c r="B563" s="37"/>
    </row>
    <row r="564">
      <c r="B564" s="37"/>
    </row>
    <row r="565">
      <c r="B565" s="37"/>
    </row>
    <row r="566">
      <c r="B566" s="37"/>
    </row>
    <row r="567">
      <c r="B567" s="37"/>
    </row>
    <row r="568">
      <c r="B568" s="37"/>
    </row>
    <row r="569">
      <c r="B569" s="37"/>
    </row>
    <row r="570">
      <c r="B570" s="37"/>
    </row>
    <row r="571">
      <c r="B571" s="37"/>
    </row>
    <row r="572">
      <c r="B572" s="37"/>
    </row>
    <row r="573">
      <c r="B573" s="37"/>
    </row>
    <row r="574">
      <c r="B574" s="37"/>
    </row>
    <row r="575">
      <c r="B575" s="37"/>
    </row>
    <row r="576">
      <c r="B576" s="37"/>
    </row>
    <row r="577">
      <c r="B577" s="37"/>
    </row>
    <row r="578">
      <c r="B578" s="37"/>
    </row>
    <row r="579">
      <c r="B579" s="37"/>
    </row>
    <row r="580">
      <c r="B580" s="37"/>
    </row>
    <row r="581">
      <c r="B581" s="37"/>
    </row>
    <row r="582">
      <c r="B582" s="37"/>
    </row>
    <row r="583">
      <c r="B583" s="37"/>
    </row>
    <row r="584">
      <c r="B584" s="37"/>
    </row>
    <row r="585">
      <c r="B585" s="37"/>
    </row>
    <row r="586">
      <c r="B586" s="37"/>
    </row>
    <row r="587">
      <c r="B587" s="37"/>
    </row>
    <row r="588">
      <c r="B588" s="37"/>
    </row>
    <row r="589">
      <c r="B589" s="37"/>
    </row>
    <row r="590">
      <c r="B590" s="37"/>
    </row>
    <row r="591">
      <c r="B591" s="37"/>
    </row>
    <row r="592">
      <c r="B592" s="37"/>
    </row>
    <row r="593">
      <c r="B593" s="37"/>
    </row>
    <row r="594">
      <c r="B594" s="37"/>
    </row>
    <row r="595">
      <c r="B595" s="37"/>
    </row>
    <row r="596">
      <c r="B596" s="37"/>
    </row>
    <row r="597">
      <c r="B597" s="37"/>
    </row>
    <row r="598">
      <c r="B598" s="37"/>
    </row>
    <row r="599">
      <c r="B599" s="37"/>
    </row>
    <row r="600">
      <c r="B600" s="37"/>
    </row>
    <row r="601">
      <c r="B601" s="37"/>
    </row>
    <row r="602">
      <c r="B602" s="37"/>
    </row>
    <row r="603">
      <c r="B603" s="37"/>
    </row>
    <row r="604">
      <c r="B604" s="37"/>
    </row>
    <row r="605">
      <c r="B605" s="37"/>
    </row>
    <row r="606">
      <c r="B606" s="37"/>
    </row>
    <row r="607">
      <c r="B607" s="37"/>
    </row>
    <row r="608">
      <c r="B608" s="37"/>
    </row>
    <row r="609">
      <c r="B609" s="37"/>
    </row>
    <row r="610">
      <c r="B610" s="37"/>
    </row>
    <row r="611">
      <c r="B611" s="37"/>
    </row>
    <row r="612">
      <c r="B612" s="37"/>
    </row>
    <row r="613">
      <c r="B613" s="37"/>
    </row>
    <row r="614">
      <c r="B614" s="37"/>
    </row>
    <row r="615">
      <c r="B615" s="37"/>
    </row>
    <row r="616">
      <c r="B616" s="37"/>
    </row>
    <row r="617">
      <c r="B617" s="37"/>
    </row>
    <row r="618">
      <c r="B618" s="37"/>
    </row>
    <row r="619">
      <c r="B619" s="37"/>
    </row>
    <row r="620">
      <c r="B620" s="37"/>
    </row>
    <row r="621">
      <c r="B621" s="37"/>
    </row>
    <row r="622">
      <c r="B622" s="37"/>
    </row>
    <row r="623">
      <c r="B623" s="37"/>
    </row>
    <row r="624">
      <c r="B624" s="37"/>
    </row>
    <row r="625">
      <c r="B625" s="37"/>
    </row>
    <row r="626">
      <c r="B626" s="37"/>
    </row>
    <row r="627">
      <c r="B627" s="37"/>
    </row>
    <row r="628">
      <c r="B628" s="37"/>
    </row>
    <row r="629">
      <c r="B629" s="37"/>
    </row>
    <row r="630">
      <c r="B630" s="37"/>
    </row>
    <row r="631">
      <c r="B631" s="37"/>
    </row>
    <row r="632">
      <c r="B632" s="37"/>
    </row>
    <row r="633">
      <c r="B633" s="37"/>
    </row>
    <row r="634">
      <c r="B634" s="37"/>
    </row>
    <row r="635">
      <c r="B635" s="37"/>
    </row>
    <row r="636">
      <c r="B636" s="37"/>
    </row>
    <row r="637">
      <c r="B637" s="37"/>
    </row>
    <row r="638">
      <c r="B638" s="37"/>
    </row>
    <row r="639">
      <c r="B639" s="37"/>
    </row>
    <row r="640">
      <c r="B640" s="37"/>
    </row>
    <row r="641">
      <c r="B641" s="37"/>
    </row>
    <row r="642">
      <c r="B642" s="37"/>
    </row>
    <row r="643">
      <c r="B643" s="37"/>
    </row>
    <row r="644">
      <c r="B644" s="37"/>
    </row>
    <row r="645">
      <c r="B645" s="37"/>
    </row>
    <row r="646">
      <c r="B646" s="37"/>
    </row>
    <row r="647">
      <c r="B647" s="37"/>
    </row>
    <row r="648">
      <c r="B648" s="37"/>
    </row>
    <row r="649">
      <c r="B649" s="37"/>
    </row>
    <row r="650">
      <c r="B650" s="37"/>
    </row>
    <row r="651">
      <c r="B651" s="37"/>
    </row>
    <row r="652">
      <c r="B652" s="37"/>
    </row>
    <row r="653">
      <c r="B653" s="37"/>
    </row>
    <row r="654">
      <c r="B654" s="37"/>
    </row>
    <row r="655">
      <c r="B655" s="37"/>
    </row>
    <row r="656">
      <c r="B656" s="37"/>
    </row>
    <row r="657">
      <c r="B657" s="37"/>
    </row>
    <row r="658">
      <c r="B658" s="37"/>
    </row>
    <row r="659">
      <c r="B659" s="37"/>
    </row>
    <row r="660">
      <c r="B660" s="37"/>
    </row>
    <row r="661">
      <c r="B661" s="37"/>
    </row>
    <row r="662">
      <c r="B662" s="37"/>
    </row>
    <row r="663">
      <c r="B663" s="37"/>
    </row>
    <row r="664">
      <c r="B664" s="37"/>
    </row>
    <row r="665">
      <c r="B665" s="37"/>
    </row>
    <row r="666">
      <c r="B666" s="37"/>
    </row>
    <row r="667">
      <c r="B667" s="37"/>
    </row>
    <row r="668">
      <c r="B668" s="37"/>
    </row>
    <row r="669">
      <c r="B669" s="37"/>
    </row>
    <row r="670">
      <c r="B670" s="37"/>
    </row>
    <row r="671">
      <c r="B671" s="37"/>
    </row>
    <row r="672">
      <c r="B672" s="37"/>
    </row>
    <row r="673">
      <c r="B673" s="37"/>
    </row>
    <row r="674">
      <c r="B674" s="37"/>
    </row>
    <row r="675">
      <c r="B675" s="37"/>
    </row>
    <row r="676">
      <c r="B676" s="37"/>
    </row>
    <row r="677">
      <c r="B677" s="37"/>
    </row>
    <row r="678">
      <c r="B678" s="37"/>
    </row>
    <row r="679">
      <c r="B679" s="37"/>
    </row>
    <row r="680">
      <c r="B680" s="37"/>
    </row>
    <row r="681">
      <c r="B681" s="37"/>
    </row>
    <row r="682">
      <c r="B682" s="37"/>
    </row>
    <row r="683">
      <c r="B683" s="37"/>
    </row>
    <row r="684">
      <c r="B684" s="37"/>
    </row>
    <row r="685">
      <c r="B685" s="37"/>
    </row>
    <row r="686">
      <c r="B686" s="37"/>
    </row>
    <row r="687">
      <c r="B687" s="37"/>
    </row>
    <row r="688">
      <c r="B688" s="37"/>
    </row>
    <row r="689">
      <c r="B689" s="37"/>
    </row>
    <row r="690">
      <c r="B690" s="37"/>
    </row>
    <row r="691">
      <c r="B691" s="37"/>
    </row>
    <row r="692">
      <c r="B692" s="37"/>
    </row>
    <row r="693">
      <c r="B693" s="37"/>
    </row>
    <row r="694">
      <c r="B694" s="37"/>
    </row>
    <row r="695">
      <c r="B695" s="37"/>
    </row>
    <row r="696">
      <c r="B696" s="37"/>
    </row>
    <row r="697">
      <c r="B697" s="37"/>
    </row>
    <row r="698">
      <c r="B698" s="37"/>
    </row>
    <row r="699">
      <c r="B699" s="37"/>
    </row>
    <row r="700">
      <c r="B700" s="37"/>
    </row>
    <row r="701">
      <c r="B701" s="37"/>
    </row>
    <row r="702">
      <c r="B702" s="37"/>
    </row>
    <row r="703">
      <c r="B703" s="37"/>
    </row>
    <row r="704">
      <c r="B704" s="37"/>
    </row>
    <row r="705">
      <c r="B705" s="37"/>
    </row>
    <row r="706">
      <c r="B706" s="37"/>
    </row>
    <row r="707">
      <c r="B707" s="37"/>
    </row>
    <row r="708">
      <c r="B708" s="37"/>
    </row>
    <row r="709">
      <c r="B709" s="37"/>
    </row>
    <row r="710">
      <c r="B710" s="37"/>
    </row>
    <row r="711">
      <c r="B711" s="37"/>
    </row>
    <row r="712">
      <c r="B712" s="37"/>
    </row>
    <row r="713">
      <c r="B713" s="37"/>
    </row>
    <row r="714">
      <c r="B714" s="37"/>
    </row>
    <row r="715">
      <c r="B715" s="37"/>
    </row>
    <row r="716">
      <c r="B716" s="37"/>
    </row>
    <row r="717">
      <c r="B717" s="37"/>
    </row>
    <row r="718">
      <c r="B718" s="37"/>
    </row>
    <row r="719">
      <c r="B719" s="37"/>
    </row>
    <row r="720">
      <c r="B720" s="37"/>
    </row>
    <row r="721">
      <c r="B721" s="37"/>
    </row>
    <row r="722">
      <c r="B722" s="37"/>
    </row>
    <row r="723">
      <c r="B723" s="37"/>
    </row>
    <row r="724">
      <c r="B724" s="37"/>
    </row>
    <row r="725">
      <c r="B725" s="37"/>
    </row>
    <row r="726">
      <c r="B726" s="37"/>
    </row>
    <row r="727">
      <c r="B727" s="37"/>
    </row>
    <row r="728">
      <c r="B728" s="37"/>
    </row>
    <row r="729">
      <c r="B729" s="37"/>
    </row>
    <row r="730">
      <c r="B730" s="37"/>
    </row>
    <row r="731">
      <c r="B731" s="37"/>
    </row>
    <row r="732">
      <c r="B732" s="37"/>
    </row>
    <row r="733">
      <c r="B733" s="37"/>
    </row>
    <row r="734">
      <c r="B734" s="37"/>
    </row>
    <row r="735">
      <c r="B735" s="37"/>
    </row>
    <row r="736">
      <c r="B736" s="37"/>
    </row>
    <row r="737">
      <c r="B737" s="37"/>
    </row>
    <row r="738">
      <c r="B738" s="37"/>
    </row>
    <row r="739">
      <c r="B739" s="37"/>
    </row>
    <row r="740">
      <c r="B740" s="37"/>
    </row>
    <row r="741">
      <c r="B741" s="37"/>
    </row>
    <row r="742">
      <c r="B742" s="37"/>
    </row>
    <row r="743">
      <c r="B743" s="37"/>
    </row>
    <row r="744">
      <c r="B744" s="37"/>
    </row>
    <row r="745">
      <c r="B745" s="37"/>
    </row>
    <row r="746">
      <c r="B746" s="37"/>
    </row>
    <row r="747">
      <c r="B747" s="37"/>
    </row>
    <row r="748">
      <c r="B748" s="37"/>
    </row>
    <row r="749">
      <c r="B749" s="37"/>
    </row>
    <row r="750">
      <c r="B750" s="37"/>
    </row>
    <row r="751">
      <c r="B751" s="37"/>
    </row>
    <row r="752">
      <c r="B752" s="37"/>
    </row>
    <row r="753">
      <c r="B753" s="37"/>
    </row>
    <row r="754">
      <c r="B754" s="37"/>
    </row>
    <row r="755">
      <c r="B755" s="37"/>
    </row>
    <row r="756">
      <c r="B756" s="37"/>
    </row>
    <row r="757">
      <c r="B757" s="37"/>
    </row>
    <row r="758">
      <c r="B758" s="37"/>
    </row>
    <row r="759">
      <c r="B759" s="37"/>
    </row>
    <row r="760">
      <c r="B760" s="37"/>
    </row>
    <row r="761">
      <c r="B761" s="37"/>
    </row>
    <row r="762">
      <c r="B762" s="37"/>
    </row>
    <row r="763">
      <c r="B763" s="37"/>
    </row>
    <row r="764">
      <c r="B764" s="37"/>
    </row>
    <row r="765">
      <c r="B765" s="37"/>
    </row>
    <row r="766">
      <c r="B766" s="37"/>
    </row>
    <row r="767">
      <c r="B767" s="37"/>
    </row>
    <row r="768">
      <c r="B768" s="37"/>
    </row>
    <row r="769">
      <c r="B769" s="37"/>
    </row>
    <row r="770">
      <c r="B770" s="37"/>
    </row>
    <row r="771">
      <c r="B771" s="37"/>
    </row>
    <row r="772">
      <c r="B772" s="37"/>
    </row>
    <row r="773">
      <c r="B773" s="37"/>
    </row>
    <row r="774">
      <c r="B774" s="37"/>
    </row>
    <row r="775">
      <c r="B775" s="37"/>
    </row>
    <row r="776">
      <c r="B776" s="37"/>
    </row>
    <row r="777">
      <c r="B777" s="37"/>
    </row>
    <row r="778">
      <c r="B778" s="37"/>
    </row>
    <row r="779">
      <c r="B779" s="37"/>
    </row>
    <row r="780">
      <c r="B780" s="37"/>
    </row>
    <row r="781">
      <c r="B781" s="37"/>
    </row>
    <row r="782">
      <c r="B782" s="37"/>
    </row>
    <row r="783">
      <c r="B783" s="37"/>
    </row>
    <row r="784">
      <c r="B784" s="37"/>
    </row>
    <row r="785">
      <c r="B785" s="37"/>
    </row>
    <row r="786">
      <c r="B786" s="37"/>
    </row>
    <row r="787">
      <c r="B787" s="37"/>
    </row>
    <row r="788">
      <c r="B788" s="37"/>
    </row>
    <row r="789">
      <c r="B789" s="37"/>
    </row>
    <row r="790">
      <c r="B790" s="37"/>
    </row>
    <row r="791">
      <c r="B791" s="37"/>
    </row>
    <row r="792">
      <c r="B792" s="37"/>
    </row>
    <row r="793">
      <c r="B793" s="37"/>
    </row>
    <row r="794">
      <c r="B794" s="37"/>
    </row>
    <row r="795">
      <c r="B795" s="37"/>
    </row>
    <row r="796">
      <c r="B796" s="37"/>
    </row>
    <row r="797">
      <c r="B797" s="37"/>
    </row>
    <row r="798">
      <c r="B798" s="37"/>
    </row>
    <row r="799">
      <c r="B799" s="37"/>
    </row>
    <row r="800">
      <c r="B800" s="37"/>
    </row>
    <row r="801">
      <c r="B801" s="37"/>
    </row>
    <row r="802">
      <c r="B802" s="37"/>
    </row>
    <row r="803">
      <c r="B803" s="37"/>
    </row>
    <row r="804">
      <c r="B804" s="37"/>
    </row>
    <row r="805">
      <c r="B805" s="37"/>
    </row>
    <row r="806">
      <c r="B806" s="37"/>
    </row>
    <row r="807">
      <c r="B807" s="37"/>
    </row>
    <row r="808">
      <c r="B808" s="37"/>
    </row>
    <row r="809">
      <c r="B809" s="37"/>
    </row>
    <row r="810">
      <c r="B810" s="37"/>
    </row>
    <row r="811">
      <c r="B811" s="37"/>
    </row>
    <row r="812">
      <c r="B812" s="37"/>
    </row>
    <row r="813">
      <c r="B813" s="37"/>
    </row>
    <row r="814">
      <c r="B814" s="37"/>
    </row>
    <row r="815">
      <c r="B815" s="37"/>
    </row>
    <row r="816">
      <c r="B816" s="37"/>
    </row>
    <row r="817">
      <c r="B817" s="37"/>
    </row>
    <row r="818">
      <c r="B818" s="37"/>
    </row>
    <row r="819">
      <c r="B819" s="37"/>
    </row>
    <row r="820">
      <c r="B820" s="37"/>
    </row>
    <row r="821">
      <c r="B821" s="37"/>
    </row>
    <row r="822">
      <c r="B822" s="37"/>
    </row>
    <row r="823">
      <c r="B823" s="37"/>
    </row>
    <row r="824">
      <c r="B824" s="37"/>
    </row>
    <row r="825">
      <c r="B825" s="37"/>
    </row>
    <row r="826">
      <c r="B826" s="37"/>
    </row>
    <row r="827">
      <c r="B827" s="37"/>
    </row>
    <row r="828">
      <c r="B828" s="37"/>
    </row>
    <row r="829">
      <c r="B829" s="37"/>
    </row>
    <row r="830">
      <c r="B830" s="37"/>
    </row>
    <row r="831">
      <c r="B831" s="37"/>
    </row>
    <row r="832">
      <c r="B832" s="37"/>
    </row>
    <row r="833">
      <c r="B833" s="37"/>
    </row>
    <row r="834">
      <c r="B834" s="37"/>
    </row>
    <row r="835">
      <c r="B835" s="37"/>
    </row>
    <row r="836">
      <c r="B836" s="37"/>
    </row>
    <row r="837">
      <c r="B837" s="37"/>
    </row>
    <row r="838">
      <c r="B838" s="37"/>
    </row>
    <row r="839">
      <c r="B839" s="37"/>
    </row>
    <row r="840">
      <c r="B840" s="37"/>
    </row>
    <row r="841">
      <c r="B841" s="37"/>
    </row>
    <row r="842">
      <c r="B842" s="37"/>
    </row>
    <row r="843">
      <c r="B843" s="37"/>
    </row>
    <row r="844">
      <c r="B844" s="37"/>
    </row>
    <row r="845">
      <c r="B845" s="37"/>
    </row>
    <row r="846">
      <c r="B846" s="37"/>
    </row>
    <row r="847">
      <c r="B847" s="37"/>
    </row>
    <row r="848">
      <c r="B848" s="37"/>
    </row>
    <row r="849">
      <c r="B849" s="37"/>
    </row>
    <row r="850">
      <c r="B850" s="37"/>
    </row>
    <row r="851">
      <c r="B851" s="37"/>
    </row>
    <row r="852">
      <c r="B852" s="37"/>
    </row>
    <row r="853">
      <c r="B853" s="37"/>
    </row>
    <row r="854">
      <c r="B854" s="37"/>
    </row>
    <row r="855">
      <c r="B855" s="37"/>
    </row>
    <row r="856">
      <c r="B856" s="37"/>
    </row>
    <row r="857">
      <c r="B857" s="37"/>
    </row>
    <row r="858">
      <c r="B858" s="37"/>
    </row>
    <row r="859">
      <c r="B859" s="37"/>
    </row>
    <row r="860">
      <c r="B860" s="37"/>
    </row>
    <row r="861">
      <c r="B861" s="37"/>
    </row>
    <row r="862">
      <c r="B862" s="37"/>
    </row>
    <row r="863">
      <c r="B863" s="37"/>
    </row>
    <row r="864">
      <c r="B864" s="37"/>
    </row>
    <row r="865">
      <c r="B865" s="37"/>
    </row>
    <row r="866">
      <c r="B866" s="37"/>
    </row>
    <row r="867">
      <c r="B867" s="37"/>
    </row>
    <row r="868">
      <c r="B868" s="37"/>
    </row>
    <row r="869">
      <c r="B869" s="37"/>
    </row>
    <row r="870">
      <c r="B870" s="37"/>
    </row>
    <row r="871">
      <c r="B871" s="37"/>
    </row>
    <row r="872">
      <c r="B872" s="37"/>
    </row>
    <row r="873">
      <c r="B873" s="37"/>
    </row>
    <row r="874">
      <c r="B874" s="37"/>
    </row>
    <row r="875">
      <c r="B875" s="37"/>
    </row>
    <row r="876">
      <c r="B876" s="37"/>
    </row>
    <row r="877">
      <c r="B877" s="37"/>
    </row>
    <row r="878">
      <c r="B878" s="37"/>
    </row>
    <row r="879">
      <c r="B879" s="37"/>
    </row>
    <row r="880">
      <c r="B880" s="37"/>
    </row>
    <row r="881">
      <c r="B881" s="37"/>
    </row>
    <row r="882">
      <c r="B882" s="37"/>
    </row>
    <row r="883">
      <c r="B883" s="37"/>
    </row>
    <row r="884">
      <c r="B884" s="37"/>
    </row>
    <row r="885">
      <c r="B885" s="37"/>
    </row>
    <row r="886">
      <c r="B886" s="37"/>
    </row>
    <row r="887">
      <c r="B887" s="37"/>
    </row>
    <row r="888">
      <c r="B888" s="37"/>
    </row>
    <row r="889">
      <c r="B889" s="37"/>
    </row>
    <row r="890">
      <c r="B890" s="37"/>
    </row>
    <row r="891">
      <c r="B891" s="37"/>
    </row>
    <row r="892">
      <c r="B892" s="37"/>
    </row>
    <row r="893">
      <c r="B893" s="37"/>
    </row>
    <row r="894">
      <c r="B894" s="37"/>
    </row>
    <row r="895">
      <c r="B895" s="37"/>
    </row>
    <row r="896">
      <c r="B896" s="37"/>
    </row>
    <row r="897">
      <c r="B897" s="37"/>
    </row>
    <row r="898">
      <c r="B898" s="37"/>
    </row>
    <row r="899">
      <c r="B899" s="37"/>
    </row>
    <row r="900">
      <c r="B900" s="37"/>
    </row>
    <row r="901">
      <c r="B901" s="37"/>
    </row>
    <row r="902">
      <c r="B902" s="37"/>
    </row>
    <row r="903">
      <c r="B903" s="37"/>
    </row>
    <row r="904">
      <c r="B904" s="37"/>
    </row>
    <row r="905">
      <c r="B905" s="37"/>
    </row>
    <row r="906">
      <c r="B906" s="37"/>
    </row>
    <row r="907">
      <c r="B907" s="37"/>
    </row>
    <row r="908">
      <c r="B908" s="37"/>
    </row>
    <row r="909">
      <c r="B909" s="37"/>
    </row>
    <row r="910">
      <c r="B910" s="37"/>
    </row>
    <row r="911">
      <c r="B911" s="37"/>
    </row>
    <row r="912">
      <c r="B912" s="37"/>
    </row>
    <row r="913">
      <c r="B913" s="37"/>
    </row>
    <row r="914">
      <c r="B914" s="37"/>
    </row>
    <row r="915">
      <c r="B915" s="37"/>
    </row>
    <row r="916">
      <c r="B916" s="37"/>
    </row>
    <row r="917">
      <c r="B917" s="37"/>
    </row>
    <row r="918">
      <c r="B918" s="37"/>
    </row>
    <row r="919">
      <c r="B919" s="37"/>
    </row>
    <row r="920">
      <c r="B920" s="37"/>
    </row>
    <row r="921">
      <c r="B921" s="37"/>
    </row>
    <row r="922">
      <c r="B922" s="37"/>
    </row>
    <row r="923">
      <c r="B923" s="37"/>
    </row>
    <row r="924">
      <c r="B924" s="37"/>
    </row>
    <row r="925">
      <c r="B925" s="37"/>
    </row>
    <row r="926">
      <c r="B926" s="37"/>
    </row>
    <row r="927">
      <c r="B927" s="37"/>
    </row>
    <row r="928">
      <c r="B928" s="37"/>
    </row>
    <row r="929">
      <c r="B929" s="37"/>
    </row>
    <row r="930">
      <c r="B930" s="37"/>
    </row>
    <row r="931">
      <c r="B931" s="37"/>
    </row>
    <row r="932">
      <c r="B932" s="37"/>
    </row>
    <row r="933">
      <c r="B933" s="37"/>
    </row>
    <row r="934">
      <c r="B934" s="37"/>
    </row>
    <row r="935">
      <c r="B935" s="37"/>
    </row>
    <row r="936">
      <c r="B936" s="37"/>
    </row>
    <row r="937">
      <c r="B937" s="37"/>
    </row>
    <row r="938">
      <c r="B938" s="37"/>
    </row>
    <row r="939">
      <c r="B939" s="37"/>
    </row>
    <row r="940">
      <c r="B940" s="37"/>
    </row>
    <row r="941">
      <c r="B941" s="37"/>
    </row>
    <row r="942">
      <c r="B942" s="37"/>
    </row>
    <row r="943">
      <c r="B943" s="37"/>
    </row>
    <row r="944">
      <c r="B944" s="37"/>
    </row>
    <row r="945">
      <c r="B945" s="37"/>
    </row>
    <row r="946">
      <c r="B946" s="37"/>
    </row>
    <row r="947">
      <c r="B947" s="37"/>
    </row>
    <row r="948">
      <c r="B948" s="37"/>
    </row>
    <row r="949">
      <c r="B949" s="37"/>
    </row>
    <row r="950">
      <c r="B950" s="37"/>
    </row>
    <row r="951">
      <c r="B951" s="37"/>
    </row>
    <row r="952">
      <c r="B952" s="37"/>
    </row>
    <row r="953">
      <c r="B953" s="37"/>
    </row>
    <row r="954">
      <c r="B954" s="37"/>
    </row>
    <row r="955">
      <c r="B955" s="37"/>
    </row>
    <row r="956">
      <c r="B956" s="37"/>
    </row>
    <row r="957">
      <c r="B957" s="37"/>
    </row>
    <row r="958">
      <c r="B958" s="37"/>
    </row>
    <row r="959">
      <c r="B959" s="37"/>
    </row>
    <row r="960">
      <c r="B960" s="37"/>
    </row>
    <row r="961">
      <c r="B961" s="37"/>
    </row>
    <row r="962">
      <c r="B962" s="37"/>
    </row>
    <row r="963">
      <c r="B963" s="37"/>
    </row>
    <row r="964">
      <c r="B964" s="37"/>
    </row>
    <row r="965">
      <c r="B965" s="37"/>
    </row>
    <row r="966">
      <c r="B966" s="37"/>
    </row>
    <row r="967">
      <c r="B967" s="37"/>
    </row>
    <row r="968">
      <c r="B968" s="37"/>
    </row>
    <row r="969">
      <c r="B969" s="37"/>
    </row>
    <row r="970">
      <c r="B970" s="37"/>
    </row>
    <row r="971">
      <c r="B971" s="37"/>
    </row>
    <row r="972">
      <c r="B972" s="37"/>
    </row>
    <row r="973">
      <c r="B973" s="37"/>
    </row>
    <row r="974">
      <c r="B974" s="37"/>
    </row>
    <row r="975">
      <c r="B975" s="37"/>
    </row>
    <row r="976">
      <c r="B976" s="37"/>
    </row>
    <row r="977">
      <c r="B977" s="37"/>
    </row>
    <row r="978">
      <c r="B978" s="37"/>
    </row>
    <row r="979">
      <c r="B979" s="37"/>
    </row>
    <row r="980">
      <c r="B980" s="37"/>
    </row>
    <row r="981">
      <c r="B981" s="37"/>
    </row>
    <row r="982">
      <c r="B982" s="37"/>
    </row>
    <row r="983">
      <c r="B983" s="37"/>
    </row>
    <row r="984">
      <c r="B984" s="37"/>
    </row>
    <row r="985">
      <c r="B985" s="37"/>
    </row>
    <row r="986">
      <c r="B986" s="37"/>
    </row>
    <row r="987">
      <c r="B987" s="37"/>
    </row>
    <row r="988">
      <c r="B988" s="37"/>
    </row>
    <row r="989">
      <c r="B989" s="37"/>
    </row>
    <row r="990">
      <c r="B990" s="37"/>
    </row>
    <row r="991">
      <c r="B991" s="37"/>
    </row>
    <row r="992">
      <c r="B992" s="37"/>
    </row>
    <row r="993">
      <c r="B993" s="37"/>
    </row>
    <row r="994">
      <c r="B994" s="37"/>
    </row>
    <row r="995">
      <c r="B995" s="37"/>
    </row>
  </sheetData>
  <mergeCells count="16">
    <mergeCell ref="B1:D1"/>
    <mergeCell ref="F1:H1"/>
    <mergeCell ref="B9:D9"/>
    <mergeCell ref="B10:D10"/>
    <mergeCell ref="F10:H10"/>
    <mergeCell ref="J12:L12"/>
    <mergeCell ref="B19:D19"/>
    <mergeCell ref="F50:H50"/>
    <mergeCell ref="F51:H51"/>
    <mergeCell ref="F19:H19"/>
    <mergeCell ref="J21:L21"/>
    <mergeCell ref="B29:D29"/>
    <mergeCell ref="F29:H29"/>
    <mergeCell ref="B41:D41"/>
    <mergeCell ref="F41:H41"/>
    <mergeCell ref="B51:D5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4.13"/>
    <col customWidth="1" min="6" max="6" width="20.13"/>
    <col customWidth="1" min="10" max="10" width="26.5"/>
  </cols>
  <sheetData>
    <row r="1">
      <c r="B1" s="1" t="s">
        <v>0</v>
      </c>
      <c r="C1" s="2"/>
      <c r="D1" s="3"/>
      <c r="F1" s="4" t="s">
        <v>1</v>
      </c>
      <c r="G1" s="2"/>
      <c r="H1" s="3"/>
      <c r="J1" s="10" t="s">
        <v>4</v>
      </c>
      <c r="K1" s="5"/>
      <c r="L1" s="5"/>
    </row>
    <row r="2">
      <c r="B2" s="6" t="s">
        <v>2</v>
      </c>
      <c r="C2" s="7" t="s">
        <v>3</v>
      </c>
      <c r="D2" s="8"/>
      <c r="F2" s="9" t="s">
        <v>2</v>
      </c>
      <c r="G2" s="11" t="s">
        <v>3</v>
      </c>
      <c r="H2" s="12"/>
      <c r="J2" s="20">
        <f>SUM(C8,G8,G17,C17,C27,G27,C37,G35,K4,K18,K9,C47,G47,C57,G58,G66,C66)</f>
        <v>8132.6</v>
      </c>
      <c r="K2" s="13"/>
      <c r="L2" s="14"/>
    </row>
    <row r="3">
      <c r="B3" s="15" t="s">
        <v>5</v>
      </c>
      <c r="C3" s="7">
        <f>596.99+150</f>
        <v>746.99</v>
      </c>
      <c r="D3" s="16" t="b">
        <v>1</v>
      </c>
      <c r="F3" s="17"/>
      <c r="G3" s="18"/>
      <c r="H3" s="19"/>
      <c r="J3" s="13"/>
      <c r="K3" s="13"/>
      <c r="L3" s="14"/>
    </row>
    <row r="4">
      <c r="B4" s="15" t="s">
        <v>6</v>
      </c>
      <c r="C4" s="7">
        <v>89.98</v>
      </c>
      <c r="D4" s="21" t="b">
        <v>1</v>
      </c>
      <c r="F4" s="15" t="s">
        <v>5</v>
      </c>
      <c r="G4" s="23"/>
      <c r="H4" s="16" t="b">
        <v>0</v>
      </c>
      <c r="J4" s="24"/>
      <c r="K4" s="25"/>
      <c r="L4" s="26"/>
    </row>
    <row r="5">
      <c r="B5" s="15" t="s">
        <v>14</v>
      </c>
      <c r="C5" s="7">
        <v>170.17</v>
      </c>
      <c r="D5" s="21" t="b">
        <v>1</v>
      </c>
      <c r="F5" s="15" t="s">
        <v>6</v>
      </c>
      <c r="G5" s="23"/>
      <c r="H5" s="16" t="b">
        <v>0</v>
      </c>
      <c r="J5" s="24"/>
      <c r="K5" s="25"/>
      <c r="L5" s="26"/>
    </row>
    <row r="6">
      <c r="A6" s="27"/>
      <c r="B6" s="15" t="s">
        <v>83</v>
      </c>
      <c r="C6" s="23">
        <v>379.0</v>
      </c>
      <c r="D6" s="21" t="b">
        <v>1</v>
      </c>
      <c r="F6" s="15" t="s">
        <v>10</v>
      </c>
      <c r="G6" s="23">
        <v>30.0</v>
      </c>
      <c r="H6" s="16" t="b">
        <v>1</v>
      </c>
      <c r="J6" s="28"/>
      <c r="K6" s="25"/>
      <c r="L6" s="26"/>
    </row>
    <row r="7">
      <c r="B7" s="15"/>
      <c r="C7" s="23"/>
      <c r="D7" s="29" t="b">
        <v>0</v>
      </c>
      <c r="F7" s="15" t="s">
        <v>11</v>
      </c>
      <c r="G7" s="23"/>
      <c r="H7" s="16" t="b">
        <v>0</v>
      </c>
      <c r="J7" s="28"/>
      <c r="K7" s="25"/>
      <c r="L7" s="26"/>
    </row>
    <row r="8">
      <c r="B8" s="30" t="s">
        <v>13</v>
      </c>
      <c r="C8" s="31">
        <f>SUM(C3:C7)</f>
        <v>1386.14</v>
      </c>
      <c r="D8" s="32" t="b">
        <v>1</v>
      </c>
      <c r="F8" s="30" t="s">
        <v>13</v>
      </c>
      <c r="G8" s="33">
        <f>SUM(G4:G7)</f>
        <v>30</v>
      </c>
      <c r="H8" s="34" t="b">
        <v>1</v>
      </c>
      <c r="J8" s="35"/>
      <c r="K8" s="36"/>
      <c r="L8" s="26"/>
    </row>
    <row r="9">
      <c r="B9" s="37"/>
      <c r="J9" s="35"/>
      <c r="K9" s="36"/>
      <c r="L9" s="36"/>
    </row>
    <row r="10">
      <c r="B10" s="1" t="s">
        <v>18</v>
      </c>
      <c r="C10" s="2"/>
      <c r="D10" s="3"/>
      <c r="F10" s="4" t="s">
        <v>19</v>
      </c>
      <c r="G10" s="2"/>
      <c r="H10" s="3"/>
    </row>
    <row r="11">
      <c r="B11" s="38" t="s">
        <v>2</v>
      </c>
      <c r="C11" s="39" t="s">
        <v>3</v>
      </c>
      <c r="D11" s="40"/>
      <c r="F11" s="9" t="s">
        <v>2</v>
      </c>
      <c r="G11" s="11" t="s">
        <v>3</v>
      </c>
      <c r="H11" s="12"/>
      <c r="M11" s="82">
        <v>2100.0</v>
      </c>
    </row>
    <row r="12">
      <c r="B12" s="41" t="s">
        <v>20</v>
      </c>
      <c r="C12" s="42"/>
      <c r="D12" s="43" t="b">
        <v>0</v>
      </c>
      <c r="F12" s="22" t="s">
        <v>5</v>
      </c>
      <c r="G12" s="23"/>
      <c r="H12" s="16" t="b">
        <v>0</v>
      </c>
      <c r="J12" s="44"/>
      <c r="M12" s="82">
        <v>2500.0</v>
      </c>
    </row>
    <row r="13">
      <c r="B13" s="15" t="s">
        <v>6</v>
      </c>
      <c r="C13" s="42"/>
      <c r="D13" s="43" t="b">
        <v>0</v>
      </c>
      <c r="F13" s="15" t="s">
        <v>87</v>
      </c>
      <c r="G13" s="23">
        <v>103.11</v>
      </c>
      <c r="H13" s="46" t="b">
        <v>1</v>
      </c>
      <c r="J13" s="47"/>
      <c r="K13" s="48"/>
      <c r="L13" s="49"/>
      <c r="M13" s="82">
        <v>2200.0</v>
      </c>
    </row>
    <row r="14">
      <c r="B14" s="45" t="s">
        <v>23</v>
      </c>
      <c r="C14" s="50">
        <v>88.88</v>
      </c>
      <c r="D14" s="43" t="b">
        <v>1</v>
      </c>
      <c r="F14" s="15"/>
      <c r="G14" s="23"/>
      <c r="H14" s="46" t="b">
        <v>0</v>
      </c>
      <c r="J14" s="51"/>
      <c r="K14" s="25"/>
      <c r="L14" s="52"/>
      <c r="M14" s="82">
        <v>1600.0</v>
      </c>
    </row>
    <row r="15">
      <c r="B15" s="45" t="s">
        <v>88</v>
      </c>
      <c r="C15" s="50">
        <v>221.44</v>
      </c>
      <c r="D15" s="43" t="b">
        <v>1</v>
      </c>
      <c r="F15" s="15"/>
      <c r="G15" s="23"/>
      <c r="H15" s="46" t="b">
        <v>0</v>
      </c>
      <c r="J15" s="51"/>
      <c r="K15" s="25"/>
      <c r="L15" s="52"/>
    </row>
    <row r="16">
      <c r="B16" s="45" t="s">
        <v>89</v>
      </c>
      <c r="C16" s="42">
        <v>284.91</v>
      </c>
      <c r="D16" s="43" t="b">
        <v>1</v>
      </c>
      <c r="F16" s="15"/>
      <c r="G16" s="23"/>
      <c r="H16" s="46" t="b">
        <v>0</v>
      </c>
      <c r="J16" s="28"/>
      <c r="K16" s="25"/>
      <c r="L16" s="52"/>
    </row>
    <row r="17">
      <c r="B17" s="53" t="s">
        <v>13</v>
      </c>
      <c r="C17" s="54">
        <f>SUM(C12:C16)</f>
        <v>595.23</v>
      </c>
      <c r="D17" s="55" t="b">
        <v>1</v>
      </c>
      <c r="F17" s="30" t="s">
        <v>13</v>
      </c>
      <c r="G17" s="33">
        <f>SUM(G12:G16)</f>
        <v>103.11</v>
      </c>
      <c r="H17" s="34" t="b">
        <v>1</v>
      </c>
      <c r="J17" s="51"/>
      <c r="K17" s="25"/>
      <c r="L17" s="56"/>
    </row>
    <row r="18">
      <c r="B18" s="37"/>
      <c r="J18" s="57"/>
      <c r="K18" s="58"/>
      <c r="L18" s="56"/>
    </row>
    <row r="19">
      <c r="B19" s="1" t="s">
        <v>31</v>
      </c>
      <c r="C19" s="2"/>
      <c r="D19" s="3"/>
      <c r="F19" s="4" t="s">
        <v>32</v>
      </c>
      <c r="G19" s="2"/>
      <c r="H19" s="3"/>
    </row>
    <row r="20">
      <c r="B20" s="6" t="s">
        <v>2</v>
      </c>
      <c r="C20" s="11" t="s">
        <v>3</v>
      </c>
      <c r="D20" s="8"/>
      <c r="F20" s="9" t="s">
        <v>2</v>
      </c>
      <c r="G20" s="11" t="s">
        <v>3</v>
      </c>
      <c r="H20" s="12"/>
    </row>
    <row r="21">
      <c r="B21" s="15" t="s">
        <v>33</v>
      </c>
      <c r="C21" s="23">
        <v>100.0</v>
      </c>
      <c r="D21" s="16" t="b">
        <v>1</v>
      </c>
      <c r="F21" s="15" t="s">
        <v>5</v>
      </c>
      <c r="G21" s="23"/>
      <c r="H21" s="16" t="b">
        <v>0</v>
      </c>
      <c r="J21" s="5"/>
    </row>
    <row r="22">
      <c r="B22" s="15" t="s">
        <v>91</v>
      </c>
      <c r="C22" s="23">
        <v>640.55</v>
      </c>
      <c r="D22" s="16" t="b">
        <v>1</v>
      </c>
      <c r="F22" s="15" t="s">
        <v>6</v>
      </c>
      <c r="G22" s="23"/>
      <c r="H22" s="16" t="b">
        <v>0</v>
      </c>
      <c r="J22" s="13"/>
      <c r="K22" s="13"/>
      <c r="L22" s="14"/>
    </row>
    <row r="23">
      <c r="B23" s="15" t="s">
        <v>93</v>
      </c>
      <c r="C23" s="23">
        <v>721.43</v>
      </c>
      <c r="D23" s="16" t="b">
        <v>1</v>
      </c>
      <c r="F23" s="15" t="s">
        <v>37</v>
      </c>
      <c r="G23" s="23">
        <v>60.0</v>
      </c>
      <c r="H23" s="16" t="b">
        <v>1</v>
      </c>
      <c r="J23" s="24"/>
      <c r="K23" s="25"/>
      <c r="L23" s="26"/>
    </row>
    <row r="24">
      <c r="B24" s="15" t="s">
        <v>94</v>
      </c>
      <c r="C24" s="23">
        <v>599.0</v>
      </c>
      <c r="D24" s="16" t="b">
        <v>1</v>
      </c>
      <c r="F24" s="15"/>
      <c r="G24" s="23"/>
      <c r="H24" s="16" t="b">
        <v>0</v>
      </c>
      <c r="J24" s="35"/>
      <c r="K24" s="36"/>
      <c r="L24" s="36"/>
    </row>
    <row r="25">
      <c r="B25" s="15" t="s">
        <v>97</v>
      </c>
      <c r="C25" s="23">
        <v>99.7</v>
      </c>
      <c r="D25" s="16" t="b">
        <v>1</v>
      </c>
      <c r="F25" s="15"/>
      <c r="G25" s="23"/>
      <c r="H25" s="16" t="b">
        <v>0</v>
      </c>
    </row>
    <row r="26">
      <c r="B26" s="15"/>
      <c r="C26" s="23"/>
      <c r="D26" s="16" t="b">
        <v>0</v>
      </c>
      <c r="F26" s="15"/>
      <c r="G26" s="23"/>
      <c r="H26" s="16" t="b">
        <v>0</v>
      </c>
    </row>
    <row r="27">
      <c r="B27" s="30" t="s">
        <v>13</v>
      </c>
      <c r="C27" s="31">
        <f>SUM(C21:C26)</f>
        <v>2160.68</v>
      </c>
      <c r="D27" s="34" t="b">
        <v>1</v>
      </c>
      <c r="F27" s="30" t="s">
        <v>13</v>
      </c>
      <c r="G27" s="33">
        <f>SUM(G21:G26)</f>
        <v>60</v>
      </c>
      <c r="H27" s="34" t="b">
        <v>1</v>
      </c>
    </row>
    <row r="28">
      <c r="B28" s="37"/>
    </row>
    <row r="29">
      <c r="B29" s="1" t="s">
        <v>40</v>
      </c>
      <c r="C29" s="2"/>
      <c r="D29" s="3"/>
      <c r="F29" s="4" t="s">
        <v>45</v>
      </c>
      <c r="G29" s="2"/>
      <c r="H29" s="3"/>
    </row>
    <row r="30">
      <c r="B30" s="6" t="s">
        <v>2</v>
      </c>
      <c r="C30" s="11" t="s">
        <v>3</v>
      </c>
      <c r="D30" s="8"/>
      <c r="F30" s="9" t="s">
        <v>2</v>
      </c>
      <c r="G30" s="11" t="s">
        <v>3</v>
      </c>
      <c r="H30" s="12"/>
      <c r="K30" s="61"/>
      <c r="L30" s="49"/>
    </row>
    <row r="31">
      <c r="B31" s="6" t="s">
        <v>70</v>
      </c>
      <c r="C31" s="7">
        <v>274.91</v>
      </c>
      <c r="D31" s="16" t="b">
        <v>1</v>
      </c>
      <c r="F31" s="15" t="s">
        <v>5</v>
      </c>
      <c r="G31" s="83">
        <v>365.95000000000005</v>
      </c>
      <c r="H31" s="16" t="b">
        <v>0</v>
      </c>
      <c r="K31" s="61"/>
      <c r="L31" s="49"/>
    </row>
    <row r="32">
      <c r="B32" s="6" t="s">
        <v>101</v>
      </c>
      <c r="C32" s="7">
        <f>500/2+75</f>
        <v>325</v>
      </c>
      <c r="D32" s="16" t="b">
        <v>1</v>
      </c>
      <c r="F32" s="17" t="s">
        <v>52</v>
      </c>
      <c r="G32" s="23"/>
      <c r="H32" s="16" t="b">
        <v>0</v>
      </c>
      <c r="K32" s="61"/>
      <c r="L32" s="49"/>
    </row>
    <row r="33">
      <c r="B33" s="15" t="s">
        <v>44</v>
      </c>
      <c r="C33" s="23">
        <v>4.5</v>
      </c>
      <c r="D33" s="16" t="b">
        <v>1</v>
      </c>
      <c r="F33" s="6" t="s">
        <v>59</v>
      </c>
      <c r="G33" s="23"/>
      <c r="H33" s="16" t="b">
        <v>0</v>
      </c>
      <c r="K33" s="61"/>
      <c r="L33" s="49"/>
    </row>
    <row r="34">
      <c r="B34" s="6" t="s">
        <v>105</v>
      </c>
      <c r="C34" s="7">
        <v>324.95</v>
      </c>
      <c r="D34" s="16" t="b">
        <v>1</v>
      </c>
      <c r="F34" s="6" t="s">
        <v>54</v>
      </c>
      <c r="G34" s="23"/>
      <c r="H34" s="16" t="b">
        <v>0</v>
      </c>
      <c r="K34" s="61"/>
      <c r="L34" s="49"/>
    </row>
    <row r="35">
      <c r="B35" s="6" t="s">
        <v>106</v>
      </c>
      <c r="C35" s="7">
        <v>144.5</v>
      </c>
      <c r="D35" s="16" t="b">
        <v>1</v>
      </c>
      <c r="F35" s="30" t="s">
        <v>13</v>
      </c>
      <c r="G35" s="33">
        <f>SUM(G31:G34)</f>
        <v>365.95</v>
      </c>
      <c r="H35" s="34" t="b">
        <v>0</v>
      </c>
      <c r="K35" s="61"/>
      <c r="L35" s="49"/>
    </row>
    <row r="36">
      <c r="B36" s="6" t="s">
        <v>107</v>
      </c>
      <c r="C36" s="23">
        <f>145.83*2</f>
        <v>291.66</v>
      </c>
      <c r="D36" s="16" t="b">
        <v>1</v>
      </c>
      <c r="K36" s="61"/>
      <c r="L36" s="49"/>
    </row>
    <row r="37">
      <c r="B37" s="30" t="s">
        <v>13</v>
      </c>
      <c r="C37" s="31">
        <f>SUM(C31:C36)</f>
        <v>1365.52</v>
      </c>
      <c r="D37" s="34" t="b">
        <v>1</v>
      </c>
      <c r="K37" s="61"/>
      <c r="L37" s="49"/>
    </row>
    <row r="38">
      <c r="K38" s="61"/>
      <c r="L38" s="49"/>
    </row>
    <row r="39">
      <c r="F39" s="60"/>
      <c r="G39" s="63"/>
      <c r="K39" s="49"/>
      <c r="L39" s="49"/>
    </row>
    <row r="40">
      <c r="B40" s="37"/>
      <c r="F40" s="60"/>
      <c r="G40" s="63"/>
      <c r="K40" s="49"/>
      <c r="L40" s="49"/>
    </row>
    <row r="41">
      <c r="B41" s="4" t="s">
        <v>60</v>
      </c>
      <c r="C41" s="2"/>
      <c r="D41" s="3"/>
      <c r="F41" s="4" t="s">
        <v>61</v>
      </c>
      <c r="G41" s="2"/>
      <c r="H41" s="3"/>
      <c r="K41" s="49"/>
      <c r="L41" s="49"/>
    </row>
    <row r="42">
      <c r="B42" s="9" t="s">
        <v>2</v>
      </c>
      <c r="C42" s="11" t="s">
        <v>3</v>
      </c>
      <c r="D42" s="12"/>
      <c r="F42" s="9" t="s">
        <v>2</v>
      </c>
      <c r="G42" s="11" t="s">
        <v>3</v>
      </c>
      <c r="H42" s="12"/>
      <c r="K42" s="61"/>
      <c r="L42" s="49"/>
    </row>
    <row r="43">
      <c r="B43" s="15" t="s">
        <v>5</v>
      </c>
      <c r="C43" s="85">
        <v>712.04</v>
      </c>
      <c r="D43" s="16" t="b">
        <v>1</v>
      </c>
      <c r="F43" s="15" t="s">
        <v>5</v>
      </c>
      <c r="G43" s="23">
        <f>35.94+19.78+31.98+30+35.4+17.4</f>
        <v>170.5</v>
      </c>
      <c r="H43" s="16" t="b">
        <v>1</v>
      </c>
      <c r="K43" s="49"/>
      <c r="L43" s="49"/>
    </row>
    <row r="44">
      <c r="B44" s="17" t="s">
        <v>102</v>
      </c>
      <c r="C44" s="23"/>
      <c r="D44" s="16" t="b">
        <v>0</v>
      </c>
      <c r="F44" s="17" t="s">
        <v>65</v>
      </c>
      <c r="G44" s="23">
        <v>0.0</v>
      </c>
      <c r="H44" s="16" t="b">
        <v>0</v>
      </c>
      <c r="K44" s="49"/>
      <c r="L44" s="66"/>
    </row>
    <row r="45">
      <c r="B45" s="15" t="s">
        <v>6</v>
      </c>
      <c r="C45" s="23"/>
      <c r="D45" s="16" t="b">
        <v>0</v>
      </c>
      <c r="F45" s="6" t="s">
        <v>112</v>
      </c>
      <c r="G45" s="23">
        <f>157.2*2</f>
        <v>314.4</v>
      </c>
      <c r="H45" s="16" t="b">
        <v>1</v>
      </c>
      <c r="L45" s="25"/>
    </row>
    <row r="46">
      <c r="B46" s="6" t="s">
        <v>104</v>
      </c>
      <c r="C46" s="23"/>
      <c r="D46" s="16" t="b">
        <v>0</v>
      </c>
      <c r="F46" s="6" t="s">
        <v>113</v>
      </c>
      <c r="G46" s="23">
        <f>174.67*2</f>
        <v>349.34</v>
      </c>
      <c r="H46" s="16" t="b">
        <v>1</v>
      </c>
      <c r="L46" s="25"/>
    </row>
    <row r="47">
      <c r="B47" s="64" t="s">
        <v>13</v>
      </c>
      <c r="C47" s="33">
        <f>SUM(C43:C46)</f>
        <v>712.04</v>
      </c>
      <c r="D47" s="34" t="b">
        <v>1</v>
      </c>
      <c r="F47" s="64" t="s">
        <v>13</v>
      </c>
      <c r="G47" s="33">
        <f>SUM(G43:G46)</f>
        <v>834.24</v>
      </c>
      <c r="H47" s="34" t="b">
        <v>1</v>
      </c>
      <c r="L47" s="25"/>
    </row>
    <row r="48">
      <c r="B48" s="37"/>
      <c r="F48" s="82" t="s">
        <v>116</v>
      </c>
      <c r="L48" s="36"/>
    </row>
    <row r="49">
      <c r="B49" s="37"/>
    </row>
    <row r="50">
      <c r="B50" s="37"/>
      <c r="E50" s="49"/>
      <c r="F50" s="49"/>
    </row>
    <row r="51">
      <c r="B51" s="4" t="s">
        <v>72</v>
      </c>
      <c r="C51" s="2"/>
      <c r="D51" s="3"/>
      <c r="E51" s="49"/>
      <c r="F51" s="65" t="s">
        <v>73</v>
      </c>
      <c r="G51" s="2"/>
      <c r="H51" s="3"/>
    </row>
    <row r="52">
      <c r="B52" s="9" t="s">
        <v>2</v>
      </c>
      <c r="C52" s="11" t="s">
        <v>3</v>
      </c>
      <c r="D52" s="12"/>
      <c r="E52" s="49"/>
      <c r="F52" s="67" t="s">
        <v>2</v>
      </c>
      <c r="G52" s="68" t="s">
        <v>3</v>
      </c>
      <c r="H52" s="69"/>
    </row>
    <row r="53">
      <c r="B53" s="22" t="s">
        <v>78</v>
      </c>
      <c r="C53" s="23">
        <v>214.64</v>
      </c>
      <c r="D53" s="16" t="b">
        <v>1</v>
      </c>
      <c r="E53" s="49"/>
      <c r="F53" s="70" t="s">
        <v>79</v>
      </c>
      <c r="G53" s="71">
        <v>139.0</v>
      </c>
      <c r="H53" s="72" t="b">
        <v>1</v>
      </c>
    </row>
    <row r="54">
      <c r="B54" s="15" t="s">
        <v>6</v>
      </c>
      <c r="C54" s="23"/>
      <c r="D54" s="16" t="b">
        <v>0</v>
      </c>
      <c r="E54" s="49"/>
      <c r="F54" s="38" t="s">
        <v>36</v>
      </c>
      <c r="G54" s="74">
        <f>9+20.9+24.1+4.4+12.7+12.8+24.2</f>
        <v>108.1</v>
      </c>
      <c r="H54" s="72" t="b">
        <v>1</v>
      </c>
    </row>
    <row r="55">
      <c r="B55" s="6"/>
      <c r="C55" s="23"/>
      <c r="D55" s="16" t="b">
        <v>0</v>
      </c>
      <c r="E55" s="49"/>
      <c r="F55" s="73"/>
      <c r="G55" s="76"/>
      <c r="H55" s="75" t="b">
        <v>0</v>
      </c>
    </row>
    <row r="56">
      <c r="B56" s="6"/>
      <c r="C56" s="23"/>
      <c r="D56" s="16" t="b">
        <v>0</v>
      </c>
      <c r="E56" s="49"/>
      <c r="F56" s="73"/>
      <c r="G56" s="76"/>
      <c r="H56" s="75" t="b">
        <v>0</v>
      </c>
    </row>
    <row r="57">
      <c r="B57" s="64" t="s">
        <v>13</v>
      </c>
      <c r="C57" s="33">
        <f>SUM(C53:C56)</f>
        <v>214.64</v>
      </c>
      <c r="D57" s="34" t="b">
        <v>1</v>
      </c>
      <c r="E57" s="49"/>
      <c r="F57" s="77"/>
      <c r="G57" s="78"/>
      <c r="H57" s="75" t="b">
        <v>0</v>
      </c>
    </row>
    <row r="58">
      <c r="B58" s="37"/>
      <c r="E58" s="49"/>
      <c r="F58" s="79" t="s">
        <v>13</v>
      </c>
      <c r="G58" s="80">
        <f>SUM(G53:G57)</f>
        <v>247.1</v>
      </c>
      <c r="H58" s="81" t="b">
        <v>1</v>
      </c>
    </row>
    <row r="59">
      <c r="B59" s="37"/>
    </row>
    <row r="60">
      <c r="B60" s="4" t="s">
        <v>118</v>
      </c>
      <c r="C60" s="2"/>
      <c r="D60" s="3"/>
      <c r="F60" s="4" t="s">
        <v>119</v>
      </c>
      <c r="G60" s="2"/>
      <c r="H60" s="3"/>
    </row>
    <row r="61">
      <c r="B61" s="9" t="s">
        <v>2</v>
      </c>
      <c r="C61" s="11" t="s">
        <v>3</v>
      </c>
      <c r="D61" s="12"/>
      <c r="F61" s="9" t="s">
        <v>2</v>
      </c>
      <c r="G61" s="11" t="s">
        <v>3</v>
      </c>
      <c r="H61" s="12"/>
    </row>
    <row r="62">
      <c r="B62" s="22" t="s">
        <v>78</v>
      </c>
      <c r="C62" s="23">
        <v>26.0</v>
      </c>
      <c r="D62" s="16" t="b">
        <v>1</v>
      </c>
      <c r="F62" s="15" t="s">
        <v>121</v>
      </c>
      <c r="G62" s="23">
        <v>31.95</v>
      </c>
      <c r="H62" s="16" t="b">
        <v>1</v>
      </c>
    </row>
    <row r="63">
      <c r="B63" s="15" t="s">
        <v>6</v>
      </c>
      <c r="C63" s="23"/>
      <c r="D63" s="16" t="b">
        <v>0</v>
      </c>
      <c r="F63" s="15"/>
      <c r="G63" s="23"/>
      <c r="H63" s="16" t="b">
        <v>0</v>
      </c>
    </row>
    <row r="64">
      <c r="B64" s="6"/>
      <c r="C64" s="23"/>
      <c r="D64" s="16" t="b">
        <v>0</v>
      </c>
      <c r="F64" s="6"/>
      <c r="G64" s="23"/>
      <c r="H64" s="16" t="b">
        <v>0</v>
      </c>
    </row>
    <row r="65">
      <c r="B65" s="6"/>
      <c r="C65" s="23"/>
      <c r="D65" s="16" t="b">
        <v>0</v>
      </c>
      <c r="F65" s="6"/>
      <c r="G65" s="23"/>
      <c r="H65" s="16" t="b">
        <v>0</v>
      </c>
    </row>
    <row r="66">
      <c r="B66" s="64" t="s">
        <v>13</v>
      </c>
      <c r="C66" s="33">
        <f>SUM(C62:C65)</f>
        <v>26</v>
      </c>
      <c r="D66" s="34" t="b">
        <v>1</v>
      </c>
      <c r="F66" s="64" t="s">
        <v>13</v>
      </c>
      <c r="G66" s="33">
        <f>SUM(G62:G65)</f>
        <v>31.95</v>
      </c>
      <c r="H66" s="34" t="b">
        <v>1</v>
      </c>
    </row>
    <row r="67">
      <c r="B67" s="37"/>
    </row>
    <row r="68">
      <c r="B68" s="37"/>
    </row>
    <row r="69">
      <c r="B69" s="37"/>
    </row>
    <row r="70">
      <c r="B70" s="37"/>
    </row>
    <row r="71">
      <c r="B71" s="37"/>
    </row>
    <row r="72">
      <c r="B72" s="37"/>
    </row>
    <row r="73">
      <c r="B73" s="37"/>
    </row>
    <row r="74">
      <c r="B74" s="37"/>
    </row>
    <row r="75">
      <c r="B75" s="37"/>
    </row>
    <row r="76">
      <c r="B76" s="37"/>
    </row>
    <row r="77">
      <c r="B77" s="37"/>
    </row>
    <row r="78">
      <c r="B78" s="37"/>
    </row>
    <row r="79">
      <c r="B79" s="37"/>
    </row>
    <row r="80">
      <c r="B80" s="37"/>
    </row>
    <row r="81">
      <c r="B81" s="37"/>
    </row>
    <row r="82">
      <c r="B82" s="37"/>
    </row>
    <row r="83">
      <c r="B83" s="37"/>
    </row>
    <row r="84">
      <c r="B84" s="37"/>
    </row>
    <row r="85">
      <c r="B85" s="37"/>
    </row>
    <row r="86">
      <c r="B86" s="37"/>
    </row>
    <row r="87">
      <c r="B87" s="37"/>
    </row>
    <row r="88">
      <c r="B88" s="37"/>
    </row>
    <row r="89">
      <c r="B89" s="37"/>
    </row>
    <row r="90">
      <c r="B90" s="37"/>
    </row>
    <row r="91">
      <c r="B91" s="37"/>
    </row>
    <row r="92">
      <c r="B92" s="37"/>
    </row>
    <row r="93">
      <c r="B93" s="37"/>
    </row>
    <row r="94">
      <c r="B94" s="37"/>
    </row>
    <row r="95">
      <c r="B95" s="37"/>
    </row>
    <row r="96">
      <c r="B96" s="37"/>
    </row>
    <row r="97">
      <c r="B97" s="37"/>
    </row>
    <row r="98">
      <c r="B98" s="37"/>
    </row>
    <row r="99">
      <c r="B99" s="37"/>
    </row>
    <row r="100">
      <c r="B100" s="37"/>
    </row>
    <row r="101">
      <c r="B101" s="37"/>
    </row>
    <row r="102">
      <c r="B102" s="37"/>
    </row>
    <row r="103">
      <c r="B103" s="37"/>
    </row>
    <row r="104">
      <c r="B104" s="37"/>
    </row>
    <row r="105">
      <c r="B105" s="37"/>
    </row>
    <row r="106">
      <c r="B106" s="37"/>
    </row>
    <row r="107">
      <c r="B107" s="37"/>
    </row>
    <row r="108">
      <c r="B108" s="37"/>
    </row>
    <row r="109">
      <c r="B109" s="37"/>
    </row>
    <row r="110">
      <c r="B110" s="37"/>
    </row>
    <row r="111">
      <c r="B111" s="37"/>
    </row>
    <row r="112">
      <c r="B112" s="37"/>
    </row>
    <row r="113">
      <c r="B113" s="37"/>
    </row>
    <row r="114">
      <c r="B114" s="37"/>
    </row>
    <row r="115">
      <c r="B115" s="37"/>
    </row>
    <row r="116">
      <c r="B116" s="37"/>
    </row>
    <row r="117">
      <c r="B117" s="37"/>
    </row>
    <row r="118">
      <c r="B118" s="37"/>
    </row>
    <row r="119">
      <c r="B119" s="37"/>
    </row>
    <row r="120">
      <c r="B120" s="37"/>
    </row>
    <row r="121">
      <c r="B121" s="37"/>
    </row>
    <row r="122">
      <c r="B122" s="37"/>
    </row>
    <row r="123">
      <c r="B123" s="37"/>
    </row>
    <row r="124">
      <c r="B124" s="37"/>
    </row>
    <row r="125">
      <c r="B125" s="37"/>
    </row>
    <row r="126">
      <c r="B126" s="37"/>
    </row>
    <row r="127">
      <c r="B127" s="37"/>
    </row>
    <row r="128">
      <c r="B128" s="37"/>
    </row>
    <row r="129">
      <c r="B129" s="37"/>
    </row>
    <row r="130">
      <c r="B130" s="37"/>
    </row>
    <row r="131">
      <c r="B131" s="37"/>
    </row>
    <row r="132">
      <c r="B132" s="37"/>
    </row>
    <row r="133">
      <c r="B133" s="37"/>
    </row>
    <row r="134">
      <c r="B134" s="37"/>
    </row>
    <row r="135">
      <c r="B135" s="37"/>
    </row>
    <row r="136">
      <c r="B136" s="37"/>
    </row>
    <row r="137">
      <c r="B137" s="37"/>
    </row>
    <row r="138">
      <c r="B138" s="37"/>
    </row>
    <row r="139">
      <c r="B139" s="37"/>
    </row>
    <row r="140">
      <c r="B140" s="37"/>
    </row>
    <row r="141">
      <c r="B141" s="37"/>
    </row>
    <row r="142">
      <c r="B142" s="37"/>
    </row>
    <row r="143">
      <c r="B143" s="37"/>
    </row>
    <row r="144">
      <c r="B144" s="37"/>
    </row>
    <row r="145">
      <c r="B145" s="37"/>
    </row>
    <row r="146">
      <c r="B146" s="37"/>
    </row>
    <row r="147">
      <c r="B147" s="37"/>
    </row>
    <row r="148">
      <c r="B148" s="37"/>
    </row>
    <row r="149">
      <c r="B149" s="37"/>
    </row>
    <row r="150">
      <c r="B150" s="37"/>
    </row>
    <row r="151">
      <c r="B151" s="37"/>
    </row>
    <row r="152">
      <c r="B152" s="37"/>
    </row>
    <row r="153">
      <c r="B153" s="37"/>
    </row>
    <row r="154">
      <c r="B154" s="37"/>
    </row>
    <row r="155">
      <c r="B155" s="37"/>
    </row>
    <row r="156">
      <c r="B156" s="37"/>
    </row>
    <row r="157">
      <c r="B157" s="37"/>
    </row>
    <row r="158">
      <c r="B158" s="37"/>
    </row>
    <row r="159">
      <c r="B159" s="37"/>
    </row>
    <row r="160">
      <c r="B160" s="37"/>
    </row>
    <row r="161">
      <c r="B161" s="37"/>
    </row>
    <row r="162">
      <c r="B162" s="37"/>
    </row>
    <row r="163">
      <c r="B163" s="37"/>
    </row>
    <row r="164">
      <c r="B164" s="37"/>
    </row>
    <row r="165">
      <c r="B165" s="37"/>
    </row>
    <row r="166">
      <c r="B166" s="37"/>
    </row>
    <row r="167">
      <c r="B167" s="37"/>
    </row>
    <row r="168">
      <c r="B168" s="37"/>
    </row>
    <row r="169">
      <c r="B169" s="37"/>
    </row>
    <row r="170">
      <c r="B170" s="37"/>
    </row>
    <row r="171">
      <c r="B171" s="37"/>
    </row>
    <row r="172">
      <c r="B172" s="37"/>
    </row>
    <row r="173">
      <c r="B173" s="37"/>
    </row>
    <row r="174">
      <c r="B174" s="37"/>
    </row>
    <row r="175">
      <c r="B175" s="37"/>
    </row>
    <row r="176">
      <c r="B176" s="37"/>
    </row>
    <row r="177">
      <c r="B177" s="37"/>
    </row>
    <row r="178">
      <c r="B178" s="37"/>
    </row>
    <row r="179">
      <c r="B179" s="37"/>
    </row>
    <row r="180">
      <c r="B180" s="37"/>
    </row>
    <row r="181">
      <c r="B181" s="37"/>
    </row>
    <row r="182">
      <c r="B182" s="37"/>
    </row>
    <row r="183">
      <c r="B183" s="37"/>
    </row>
    <row r="184">
      <c r="B184" s="37"/>
    </row>
    <row r="185">
      <c r="B185" s="37"/>
    </row>
    <row r="186">
      <c r="B186" s="37"/>
    </row>
    <row r="187">
      <c r="B187" s="37"/>
    </row>
    <row r="188">
      <c r="B188" s="37"/>
    </row>
    <row r="189">
      <c r="B189" s="37"/>
    </row>
    <row r="190">
      <c r="B190" s="37"/>
    </row>
    <row r="191">
      <c r="B191" s="37"/>
    </row>
    <row r="192">
      <c r="B192" s="37"/>
    </row>
    <row r="193">
      <c r="B193" s="37"/>
    </row>
    <row r="194">
      <c r="B194" s="37"/>
    </row>
    <row r="195">
      <c r="B195" s="37"/>
    </row>
    <row r="196">
      <c r="B196" s="37"/>
    </row>
    <row r="197">
      <c r="B197" s="37"/>
    </row>
    <row r="198">
      <c r="B198" s="37"/>
    </row>
    <row r="199">
      <c r="B199" s="37"/>
    </row>
    <row r="200">
      <c r="B200" s="37"/>
    </row>
    <row r="201">
      <c r="B201" s="37"/>
    </row>
    <row r="202">
      <c r="B202" s="37"/>
    </row>
    <row r="203">
      <c r="B203" s="37"/>
    </row>
    <row r="204">
      <c r="B204" s="37"/>
    </row>
    <row r="205">
      <c r="B205" s="37"/>
    </row>
    <row r="206">
      <c r="B206" s="37"/>
    </row>
    <row r="207">
      <c r="B207" s="37"/>
    </row>
    <row r="208">
      <c r="B208" s="37"/>
    </row>
    <row r="209">
      <c r="B209" s="37"/>
    </row>
    <row r="210">
      <c r="B210" s="37"/>
    </row>
    <row r="211">
      <c r="B211" s="37"/>
    </row>
    <row r="212">
      <c r="B212" s="37"/>
    </row>
    <row r="213">
      <c r="B213" s="37"/>
    </row>
    <row r="214">
      <c r="B214" s="37"/>
    </row>
    <row r="215">
      <c r="B215" s="37"/>
    </row>
    <row r="216">
      <c r="B216" s="37"/>
    </row>
    <row r="217">
      <c r="B217" s="37"/>
    </row>
    <row r="218">
      <c r="B218" s="37"/>
    </row>
    <row r="219">
      <c r="B219" s="37"/>
    </row>
    <row r="220">
      <c r="B220" s="37"/>
    </row>
    <row r="221">
      <c r="B221" s="37"/>
    </row>
    <row r="222">
      <c r="B222" s="37"/>
    </row>
    <row r="223">
      <c r="B223" s="37"/>
    </row>
    <row r="224">
      <c r="B224" s="37"/>
    </row>
    <row r="225">
      <c r="B225" s="37"/>
    </row>
    <row r="226">
      <c r="B226" s="37"/>
    </row>
    <row r="227">
      <c r="B227" s="37"/>
    </row>
    <row r="228">
      <c r="B228" s="37"/>
    </row>
    <row r="229">
      <c r="B229" s="37"/>
    </row>
    <row r="230">
      <c r="B230" s="37"/>
    </row>
    <row r="231">
      <c r="B231" s="37"/>
    </row>
    <row r="232">
      <c r="B232" s="37"/>
    </row>
    <row r="233">
      <c r="B233" s="37"/>
    </row>
    <row r="234">
      <c r="B234" s="37"/>
    </row>
    <row r="235">
      <c r="B235" s="37"/>
    </row>
    <row r="236">
      <c r="B236" s="37"/>
    </row>
    <row r="237">
      <c r="B237" s="37"/>
    </row>
    <row r="238">
      <c r="B238" s="37"/>
    </row>
    <row r="239">
      <c r="B239" s="37"/>
    </row>
    <row r="240">
      <c r="B240" s="37"/>
    </row>
    <row r="241">
      <c r="B241" s="37"/>
    </row>
    <row r="242">
      <c r="B242" s="37"/>
    </row>
    <row r="243">
      <c r="B243" s="37"/>
    </row>
    <row r="244">
      <c r="B244" s="37"/>
    </row>
    <row r="245">
      <c r="B245" s="37"/>
    </row>
    <row r="246">
      <c r="B246" s="37"/>
    </row>
    <row r="247">
      <c r="B247" s="37"/>
    </row>
    <row r="248">
      <c r="B248" s="37"/>
    </row>
    <row r="249">
      <c r="B249" s="37"/>
    </row>
    <row r="250">
      <c r="B250" s="37"/>
    </row>
    <row r="251">
      <c r="B251" s="37"/>
    </row>
    <row r="252">
      <c r="B252" s="37"/>
    </row>
    <row r="253">
      <c r="B253" s="37"/>
    </row>
    <row r="254">
      <c r="B254" s="37"/>
    </row>
    <row r="255">
      <c r="B255" s="37"/>
    </row>
    <row r="256">
      <c r="B256" s="37"/>
    </row>
    <row r="257">
      <c r="B257" s="37"/>
    </row>
    <row r="258">
      <c r="B258" s="37"/>
    </row>
    <row r="259">
      <c r="B259" s="37"/>
    </row>
    <row r="260">
      <c r="B260" s="37"/>
    </row>
    <row r="261">
      <c r="B261" s="37"/>
    </row>
    <row r="262">
      <c r="B262" s="37"/>
    </row>
    <row r="263">
      <c r="B263" s="37"/>
    </row>
    <row r="264">
      <c r="B264" s="37"/>
    </row>
    <row r="265">
      <c r="B265" s="37"/>
    </row>
    <row r="266">
      <c r="B266" s="37"/>
    </row>
    <row r="267">
      <c r="B267" s="37"/>
    </row>
    <row r="268">
      <c r="B268" s="37"/>
    </row>
    <row r="269">
      <c r="B269" s="37"/>
    </row>
    <row r="270">
      <c r="B270" s="37"/>
    </row>
    <row r="271">
      <c r="B271" s="37"/>
    </row>
    <row r="272">
      <c r="B272" s="37"/>
    </row>
    <row r="273">
      <c r="B273" s="37"/>
    </row>
    <row r="274">
      <c r="B274" s="37"/>
    </row>
    <row r="275">
      <c r="B275" s="37"/>
    </row>
    <row r="276">
      <c r="B276" s="37"/>
    </row>
    <row r="277">
      <c r="B277" s="37"/>
    </row>
    <row r="278">
      <c r="B278" s="37"/>
    </row>
    <row r="279">
      <c r="B279" s="37"/>
    </row>
    <row r="280">
      <c r="B280" s="37"/>
    </row>
    <row r="281">
      <c r="B281" s="37"/>
    </row>
    <row r="282">
      <c r="B282" s="37"/>
    </row>
    <row r="283">
      <c r="B283" s="37"/>
    </row>
    <row r="284">
      <c r="B284" s="37"/>
    </row>
    <row r="285">
      <c r="B285" s="37"/>
    </row>
    <row r="286">
      <c r="B286" s="37"/>
    </row>
    <row r="287">
      <c r="B287" s="37"/>
    </row>
    <row r="288">
      <c r="B288" s="37"/>
    </row>
    <row r="289">
      <c r="B289" s="37"/>
    </row>
    <row r="290">
      <c r="B290" s="37"/>
    </row>
    <row r="291">
      <c r="B291" s="37"/>
    </row>
    <row r="292">
      <c r="B292" s="37"/>
    </row>
    <row r="293">
      <c r="B293" s="37"/>
    </row>
    <row r="294">
      <c r="B294" s="37"/>
    </row>
    <row r="295">
      <c r="B295" s="37"/>
    </row>
    <row r="296">
      <c r="B296" s="37"/>
    </row>
    <row r="297">
      <c r="B297" s="37"/>
    </row>
    <row r="298">
      <c r="B298" s="37"/>
    </row>
    <row r="299">
      <c r="B299" s="37"/>
    </row>
    <row r="300">
      <c r="B300" s="37"/>
    </row>
    <row r="301">
      <c r="B301" s="37"/>
    </row>
    <row r="302">
      <c r="B302" s="37"/>
    </row>
    <row r="303">
      <c r="B303" s="37"/>
    </row>
    <row r="304">
      <c r="B304" s="37"/>
    </row>
    <row r="305">
      <c r="B305" s="37"/>
    </row>
    <row r="306">
      <c r="B306" s="37"/>
    </row>
    <row r="307">
      <c r="B307" s="37"/>
    </row>
    <row r="308">
      <c r="B308" s="37"/>
    </row>
    <row r="309">
      <c r="B309" s="37"/>
    </row>
    <row r="310">
      <c r="B310" s="37"/>
    </row>
    <row r="311">
      <c r="B311" s="37"/>
    </row>
    <row r="312">
      <c r="B312" s="37"/>
    </row>
    <row r="313">
      <c r="B313" s="37"/>
    </row>
    <row r="314">
      <c r="B314" s="37"/>
    </row>
    <row r="315">
      <c r="B315" s="37"/>
    </row>
    <row r="316">
      <c r="B316" s="37"/>
    </row>
    <row r="317">
      <c r="B317" s="37"/>
    </row>
    <row r="318">
      <c r="B318" s="37"/>
    </row>
    <row r="319">
      <c r="B319" s="37"/>
    </row>
    <row r="320">
      <c r="B320" s="37"/>
    </row>
    <row r="321">
      <c r="B321" s="37"/>
    </row>
    <row r="322">
      <c r="B322" s="37"/>
    </row>
    <row r="323">
      <c r="B323" s="37"/>
    </row>
    <row r="324">
      <c r="B324" s="37"/>
    </row>
    <row r="325">
      <c r="B325" s="37"/>
    </row>
    <row r="326">
      <c r="B326" s="37"/>
    </row>
    <row r="327">
      <c r="B327" s="37"/>
    </row>
    <row r="328">
      <c r="B328" s="37"/>
    </row>
    <row r="329">
      <c r="B329" s="37"/>
    </row>
    <row r="330">
      <c r="B330" s="37"/>
    </row>
    <row r="331">
      <c r="B331" s="37"/>
    </row>
    <row r="332">
      <c r="B332" s="37"/>
    </row>
    <row r="333">
      <c r="B333" s="37"/>
    </row>
    <row r="334">
      <c r="B334" s="37"/>
    </row>
    <row r="335">
      <c r="B335" s="37"/>
    </row>
    <row r="336">
      <c r="B336" s="37"/>
    </row>
    <row r="337">
      <c r="B337" s="37"/>
    </row>
    <row r="338">
      <c r="B338" s="37"/>
    </row>
    <row r="339">
      <c r="B339" s="37"/>
    </row>
    <row r="340">
      <c r="B340" s="37"/>
    </row>
    <row r="341">
      <c r="B341" s="37"/>
    </row>
    <row r="342">
      <c r="B342" s="37"/>
    </row>
    <row r="343">
      <c r="B343" s="37"/>
    </row>
    <row r="344">
      <c r="B344" s="37"/>
    </row>
    <row r="345">
      <c r="B345" s="37"/>
    </row>
    <row r="346">
      <c r="B346" s="37"/>
    </row>
    <row r="347">
      <c r="B347" s="37"/>
    </row>
    <row r="348">
      <c r="B348" s="37"/>
    </row>
    <row r="349">
      <c r="B349" s="37"/>
    </row>
    <row r="350">
      <c r="B350" s="37"/>
    </row>
    <row r="351">
      <c r="B351" s="37"/>
    </row>
    <row r="352">
      <c r="B352" s="37"/>
    </row>
    <row r="353">
      <c r="B353" s="37"/>
    </row>
    <row r="354">
      <c r="B354" s="37"/>
    </row>
    <row r="355">
      <c r="B355" s="37"/>
    </row>
    <row r="356">
      <c r="B356" s="37"/>
    </row>
    <row r="357">
      <c r="B357" s="37"/>
    </row>
    <row r="358">
      <c r="B358" s="37"/>
    </row>
    <row r="359">
      <c r="B359" s="37"/>
    </row>
    <row r="360">
      <c r="B360" s="37"/>
    </row>
    <row r="361">
      <c r="B361" s="37"/>
    </row>
    <row r="362">
      <c r="B362" s="37"/>
    </row>
    <row r="363">
      <c r="B363" s="37"/>
    </row>
    <row r="364">
      <c r="B364" s="37"/>
    </row>
    <row r="365">
      <c r="B365" s="37"/>
    </row>
    <row r="366">
      <c r="B366" s="37"/>
    </row>
    <row r="367">
      <c r="B367" s="37"/>
    </row>
    <row r="368">
      <c r="B368" s="37"/>
    </row>
    <row r="369">
      <c r="B369" s="37"/>
    </row>
    <row r="370">
      <c r="B370" s="37"/>
    </row>
    <row r="371">
      <c r="B371" s="37"/>
    </row>
    <row r="372">
      <c r="B372" s="37"/>
    </row>
    <row r="373">
      <c r="B373" s="37"/>
    </row>
    <row r="374">
      <c r="B374" s="37"/>
    </row>
    <row r="375">
      <c r="B375" s="37"/>
    </row>
    <row r="376">
      <c r="B376" s="37"/>
    </row>
    <row r="377">
      <c r="B377" s="37"/>
    </row>
    <row r="378">
      <c r="B378" s="37"/>
    </row>
    <row r="379">
      <c r="B379" s="37"/>
    </row>
    <row r="380">
      <c r="B380" s="37"/>
    </row>
    <row r="381">
      <c r="B381" s="37"/>
    </row>
    <row r="382">
      <c r="B382" s="37"/>
    </row>
    <row r="383">
      <c r="B383" s="37"/>
    </row>
    <row r="384">
      <c r="B384" s="37"/>
    </row>
    <row r="385">
      <c r="B385" s="37"/>
    </row>
    <row r="386">
      <c r="B386" s="37"/>
    </row>
    <row r="387">
      <c r="B387" s="37"/>
    </row>
    <row r="388">
      <c r="B388" s="37"/>
    </row>
    <row r="389">
      <c r="B389" s="37"/>
    </row>
    <row r="390">
      <c r="B390" s="37"/>
    </row>
    <row r="391">
      <c r="B391" s="37"/>
    </row>
    <row r="392">
      <c r="B392" s="37"/>
    </row>
    <row r="393">
      <c r="B393" s="37"/>
    </row>
    <row r="394">
      <c r="B394" s="37"/>
    </row>
    <row r="395">
      <c r="B395" s="37"/>
    </row>
    <row r="396">
      <c r="B396" s="37"/>
    </row>
    <row r="397">
      <c r="B397" s="37"/>
    </row>
    <row r="398">
      <c r="B398" s="37"/>
    </row>
    <row r="399">
      <c r="B399" s="37"/>
    </row>
    <row r="400">
      <c r="B400" s="37"/>
    </row>
    <row r="401">
      <c r="B401" s="37"/>
    </row>
    <row r="402">
      <c r="B402" s="37"/>
    </row>
    <row r="403">
      <c r="B403" s="37"/>
    </row>
    <row r="404">
      <c r="B404" s="37"/>
    </row>
    <row r="405">
      <c r="B405" s="37"/>
    </row>
    <row r="406">
      <c r="B406" s="37"/>
    </row>
    <row r="407">
      <c r="B407" s="37"/>
    </row>
    <row r="408">
      <c r="B408" s="37"/>
    </row>
    <row r="409">
      <c r="B409" s="37"/>
    </row>
    <row r="410">
      <c r="B410" s="37"/>
    </row>
    <row r="411">
      <c r="B411" s="37"/>
    </row>
    <row r="412">
      <c r="B412" s="37"/>
    </row>
    <row r="413">
      <c r="B413" s="37"/>
    </row>
    <row r="414">
      <c r="B414" s="37"/>
    </row>
    <row r="415">
      <c r="B415" s="37"/>
    </row>
    <row r="416">
      <c r="B416" s="37"/>
    </row>
    <row r="417">
      <c r="B417" s="37"/>
    </row>
    <row r="418">
      <c r="B418" s="37"/>
    </row>
    <row r="419">
      <c r="B419" s="37"/>
    </row>
    <row r="420">
      <c r="B420" s="37"/>
    </row>
    <row r="421">
      <c r="B421" s="37"/>
    </row>
    <row r="422">
      <c r="B422" s="37"/>
    </row>
    <row r="423">
      <c r="B423" s="37"/>
    </row>
    <row r="424">
      <c r="B424" s="37"/>
    </row>
    <row r="425">
      <c r="B425" s="37"/>
    </row>
    <row r="426">
      <c r="B426" s="37"/>
    </row>
    <row r="427">
      <c r="B427" s="37"/>
    </row>
    <row r="428">
      <c r="B428" s="37"/>
    </row>
    <row r="429">
      <c r="B429" s="37"/>
    </row>
    <row r="430">
      <c r="B430" s="37"/>
    </row>
    <row r="431">
      <c r="B431" s="37"/>
    </row>
    <row r="432">
      <c r="B432" s="37"/>
    </row>
    <row r="433">
      <c r="B433" s="37"/>
    </row>
    <row r="434">
      <c r="B434" s="37"/>
    </row>
    <row r="435">
      <c r="B435" s="37"/>
    </row>
    <row r="436">
      <c r="B436" s="37"/>
    </row>
    <row r="437">
      <c r="B437" s="37"/>
    </row>
    <row r="438">
      <c r="B438" s="37"/>
    </row>
    <row r="439">
      <c r="B439" s="37"/>
    </row>
    <row r="440">
      <c r="B440" s="37"/>
    </row>
    <row r="441">
      <c r="B441" s="37"/>
    </row>
    <row r="442">
      <c r="B442" s="37"/>
    </row>
    <row r="443">
      <c r="B443" s="37"/>
    </row>
    <row r="444">
      <c r="B444" s="37"/>
    </row>
    <row r="445">
      <c r="B445" s="37"/>
    </row>
    <row r="446">
      <c r="B446" s="37"/>
    </row>
    <row r="447">
      <c r="B447" s="37"/>
    </row>
    <row r="448">
      <c r="B448" s="37"/>
    </row>
    <row r="449">
      <c r="B449" s="37"/>
    </row>
    <row r="450">
      <c r="B450" s="37"/>
    </row>
    <row r="451">
      <c r="B451" s="37"/>
    </row>
    <row r="452">
      <c r="B452" s="37"/>
    </row>
    <row r="453">
      <c r="B453" s="37"/>
    </row>
    <row r="454">
      <c r="B454" s="37"/>
    </row>
    <row r="455">
      <c r="B455" s="37"/>
    </row>
    <row r="456">
      <c r="B456" s="37"/>
    </row>
    <row r="457">
      <c r="B457" s="37"/>
    </row>
    <row r="458">
      <c r="B458" s="37"/>
    </row>
    <row r="459">
      <c r="B459" s="37"/>
    </row>
    <row r="460">
      <c r="B460" s="37"/>
    </row>
    <row r="461">
      <c r="B461" s="37"/>
    </row>
    <row r="462">
      <c r="B462" s="37"/>
    </row>
    <row r="463">
      <c r="B463" s="37"/>
    </row>
    <row r="464">
      <c r="B464" s="37"/>
    </row>
    <row r="465">
      <c r="B465" s="37"/>
    </row>
    <row r="466">
      <c r="B466" s="37"/>
    </row>
    <row r="467">
      <c r="B467" s="37"/>
    </row>
    <row r="468">
      <c r="B468" s="37"/>
    </row>
    <row r="469">
      <c r="B469" s="37"/>
    </row>
    <row r="470">
      <c r="B470" s="37"/>
    </row>
    <row r="471">
      <c r="B471" s="37"/>
    </row>
    <row r="472">
      <c r="B472" s="37"/>
    </row>
    <row r="473">
      <c r="B473" s="37"/>
    </row>
    <row r="474">
      <c r="B474" s="37"/>
    </row>
    <row r="475">
      <c r="B475" s="37"/>
    </row>
    <row r="476">
      <c r="B476" s="37"/>
    </row>
    <row r="477">
      <c r="B477" s="37"/>
    </row>
    <row r="478">
      <c r="B478" s="37"/>
    </row>
    <row r="479">
      <c r="B479" s="37"/>
    </row>
    <row r="480">
      <c r="B480" s="37"/>
    </row>
    <row r="481">
      <c r="B481" s="37"/>
    </row>
    <row r="482">
      <c r="B482" s="37"/>
    </row>
    <row r="483">
      <c r="B483" s="37"/>
    </row>
    <row r="484">
      <c r="B484" s="37"/>
    </row>
    <row r="485">
      <c r="B485" s="37"/>
    </row>
    <row r="486">
      <c r="B486" s="37"/>
    </row>
    <row r="487">
      <c r="B487" s="37"/>
    </row>
    <row r="488">
      <c r="B488" s="37"/>
    </row>
    <row r="489">
      <c r="B489" s="37"/>
    </row>
    <row r="490">
      <c r="B490" s="37"/>
    </row>
    <row r="491">
      <c r="B491" s="37"/>
    </row>
    <row r="492">
      <c r="B492" s="37"/>
    </row>
    <row r="493">
      <c r="B493" s="37"/>
    </row>
    <row r="494">
      <c r="B494" s="37"/>
    </row>
    <row r="495">
      <c r="B495" s="37"/>
    </row>
    <row r="496">
      <c r="B496" s="37"/>
    </row>
    <row r="497">
      <c r="B497" s="37"/>
    </row>
    <row r="498">
      <c r="B498" s="37"/>
    </row>
    <row r="499">
      <c r="B499" s="37"/>
    </row>
    <row r="500">
      <c r="B500" s="37"/>
    </row>
    <row r="501">
      <c r="B501" s="37"/>
    </row>
    <row r="502">
      <c r="B502" s="37"/>
    </row>
    <row r="503">
      <c r="B503" s="37"/>
    </row>
    <row r="504">
      <c r="B504" s="37"/>
    </row>
    <row r="505">
      <c r="B505" s="37"/>
    </row>
    <row r="506">
      <c r="B506" s="37"/>
    </row>
    <row r="507">
      <c r="B507" s="37"/>
    </row>
    <row r="508">
      <c r="B508" s="37"/>
    </row>
    <row r="509">
      <c r="B509" s="37"/>
    </row>
    <row r="510">
      <c r="B510" s="37"/>
    </row>
    <row r="511">
      <c r="B511" s="37"/>
    </row>
    <row r="512">
      <c r="B512" s="37"/>
    </row>
    <row r="513">
      <c r="B513" s="37"/>
    </row>
    <row r="514">
      <c r="B514" s="37"/>
    </row>
    <row r="515">
      <c r="B515" s="37"/>
    </row>
    <row r="516">
      <c r="B516" s="37"/>
    </row>
    <row r="517">
      <c r="B517" s="37"/>
    </row>
    <row r="518">
      <c r="B518" s="37"/>
    </row>
    <row r="519">
      <c r="B519" s="37"/>
    </row>
    <row r="520">
      <c r="B520" s="37"/>
    </row>
    <row r="521">
      <c r="B521" s="37"/>
    </row>
    <row r="522">
      <c r="B522" s="37"/>
    </row>
    <row r="523">
      <c r="B523" s="37"/>
    </row>
    <row r="524">
      <c r="B524" s="37"/>
    </row>
    <row r="525">
      <c r="B525" s="37"/>
    </row>
    <row r="526">
      <c r="B526" s="37"/>
    </row>
    <row r="527">
      <c r="B527" s="37"/>
    </row>
    <row r="528">
      <c r="B528" s="37"/>
    </row>
    <row r="529">
      <c r="B529" s="37"/>
    </row>
    <row r="530">
      <c r="B530" s="37"/>
    </row>
    <row r="531">
      <c r="B531" s="37"/>
    </row>
    <row r="532">
      <c r="B532" s="37"/>
    </row>
    <row r="533">
      <c r="B533" s="37"/>
    </row>
    <row r="534">
      <c r="B534" s="37"/>
    </row>
    <row r="535">
      <c r="B535" s="37"/>
    </row>
    <row r="536">
      <c r="B536" s="37"/>
    </row>
    <row r="537">
      <c r="B537" s="37"/>
    </row>
    <row r="538">
      <c r="B538" s="37"/>
    </row>
    <row r="539">
      <c r="B539" s="37"/>
    </row>
    <row r="540">
      <c r="B540" s="37"/>
    </row>
    <row r="541">
      <c r="B541" s="37"/>
    </row>
    <row r="542">
      <c r="B542" s="37"/>
    </row>
    <row r="543">
      <c r="B543" s="37"/>
    </row>
    <row r="544">
      <c r="B544" s="37"/>
    </row>
    <row r="545">
      <c r="B545" s="37"/>
    </row>
    <row r="546">
      <c r="B546" s="37"/>
    </row>
    <row r="547">
      <c r="B547" s="37"/>
    </row>
    <row r="548">
      <c r="B548" s="37"/>
    </row>
    <row r="549">
      <c r="B549" s="37"/>
    </row>
    <row r="550">
      <c r="B550" s="37"/>
    </row>
    <row r="551">
      <c r="B551" s="37"/>
    </row>
    <row r="552">
      <c r="B552" s="37"/>
    </row>
    <row r="553">
      <c r="B553" s="37"/>
    </row>
    <row r="554">
      <c r="B554" s="37"/>
    </row>
    <row r="555">
      <c r="B555" s="37"/>
    </row>
    <row r="556">
      <c r="B556" s="37"/>
    </row>
    <row r="557">
      <c r="B557" s="37"/>
    </row>
    <row r="558">
      <c r="B558" s="37"/>
    </row>
    <row r="559">
      <c r="B559" s="37"/>
    </row>
    <row r="560">
      <c r="B560" s="37"/>
    </row>
    <row r="561">
      <c r="B561" s="37"/>
    </row>
    <row r="562">
      <c r="B562" s="37"/>
    </row>
    <row r="563">
      <c r="B563" s="37"/>
    </row>
    <row r="564">
      <c r="B564" s="37"/>
    </row>
    <row r="565">
      <c r="B565" s="37"/>
    </row>
    <row r="566">
      <c r="B566" s="37"/>
    </row>
    <row r="567">
      <c r="B567" s="37"/>
    </row>
    <row r="568">
      <c r="B568" s="37"/>
    </row>
    <row r="569">
      <c r="B569" s="37"/>
    </row>
    <row r="570">
      <c r="B570" s="37"/>
    </row>
    <row r="571">
      <c r="B571" s="37"/>
    </row>
    <row r="572">
      <c r="B572" s="37"/>
    </row>
    <row r="573">
      <c r="B573" s="37"/>
    </row>
    <row r="574">
      <c r="B574" s="37"/>
    </row>
    <row r="575">
      <c r="B575" s="37"/>
    </row>
    <row r="576">
      <c r="B576" s="37"/>
    </row>
    <row r="577">
      <c r="B577" s="37"/>
    </row>
    <row r="578">
      <c r="B578" s="37"/>
    </row>
    <row r="579">
      <c r="B579" s="37"/>
    </row>
    <row r="580">
      <c r="B580" s="37"/>
    </row>
    <row r="581">
      <c r="B581" s="37"/>
    </row>
    <row r="582">
      <c r="B582" s="37"/>
    </row>
    <row r="583">
      <c r="B583" s="37"/>
    </row>
    <row r="584">
      <c r="B584" s="37"/>
    </row>
    <row r="585">
      <c r="B585" s="37"/>
    </row>
    <row r="586">
      <c r="B586" s="37"/>
    </row>
    <row r="587">
      <c r="B587" s="37"/>
    </row>
    <row r="588">
      <c r="B588" s="37"/>
    </row>
    <row r="589">
      <c r="B589" s="37"/>
    </row>
    <row r="590">
      <c r="B590" s="37"/>
    </row>
    <row r="591">
      <c r="B591" s="37"/>
    </row>
    <row r="592">
      <c r="B592" s="37"/>
    </row>
    <row r="593">
      <c r="B593" s="37"/>
    </row>
    <row r="594">
      <c r="B594" s="37"/>
    </row>
    <row r="595">
      <c r="B595" s="37"/>
    </row>
    <row r="596">
      <c r="B596" s="37"/>
    </row>
    <row r="597">
      <c r="B597" s="37"/>
    </row>
    <row r="598">
      <c r="B598" s="37"/>
    </row>
    <row r="599">
      <c r="B599" s="37"/>
    </row>
    <row r="600">
      <c r="B600" s="37"/>
    </row>
    <row r="601">
      <c r="B601" s="37"/>
    </row>
    <row r="602">
      <c r="B602" s="37"/>
    </row>
    <row r="603">
      <c r="B603" s="37"/>
    </row>
    <row r="604">
      <c r="B604" s="37"/>
    </row>
    <row r="605">
      <c r="B605" s="37"/>
    </row>
    <row r="606">
      <c r="B606" s="37"/>
    </row>
    <row r="607">
      <c r="B607" s="37"/>
    </row>
    <row r="608">
      <c r="B608" s="37"/>
    </row>
    <row r="609">
      <c r="B609" s="37"/>
    </row>
    <row r="610">
      <c r="B610" s="37"/>
    </row>
    <row r="611">
      <c r="B611" s="37"/>
    </row>
    <row r="612">
      <c r="B612" s="37"/>
    </row>
    <row r="613">
      <c r="B613" s="37"/>
    </row>
    <row r="614">
      <c r="B614" s="37"/>
    </row>
    <row r="615">
      <c r="B615" s="37"/>
    </row>
    <row r="616">
      <c r="B616" s="37"/>
    </row>
    <row r="617">
      <c r="B617" s="37"/>
    </row>
    <row r="618">
      <c r="B618" s="37"/>
    </row>
    <row r="619">
      <c r="B619" s="37"/>
    </row>
    <row r="620">
      <c r="B620" s="37"/>
    </row>
    <row r="621">
      <c r="B621" s="37"/>
    </row>
    <row r="622">
      <c r="B622" s="37"/>
    </row>
    <row r="623">
      <c r="B623" s="37"/>
    </row>
    <row r="624">
      <c r="B624" s="37"/>
    </row>
    <row r="625">
      <c r="B625" s="37"/>
    </row>
    <row r="626">
      <c r="B626" s="37"/>
    </row>
    <row r="627">
      <c r="B627" s="37"/>
    </row>
    <row r="628">
      <c r="B628" s="37"/>
    </row>
    <row r="629">
      <c r="B629" s="37"/>
    </row>
    <row r="630">
      <c r="B630" s="37"/>
    </row>
    <row r="631">
      <c r="B631" s="37"/>
    </row>
    <row r="632">
      <c r="B632" s="37"/>
    </row>
    <row r="633">
      <c r="B633" s="37"/>
    </row>
    <row r="634">
      <c r="B634" s="37"/>
    </row>
    <row r="635">
      <c r="B635" s="37"/>
    </row>
    <row r="636">
      <c r="B636" s="37"/>
    </row>
    <row r="637">
      <c r="B637" s="37"/>
    </row>
    <row r="638">
      <c r="B638" s="37"/>
    </row>
    <row r="639">
      <c r="B639" s="37"/>
    </row>
    <row r="640">
      <c r="B640" s="37"/>
    </row>
    <row r="641">
      <c r="B641" s="37"/>
    </row>
    <row r="642">
      <c r="B642" s="37"/>
    </row>
    <row r="643">
      <c r="B643" s="37"/>
    </row>
    <row r="644">
      <c r="B644" s="37"/>
    </row>
    <row r="645">
      <c r="B645" s="37"/>
    </row>
    <row r="646">
      <c r="B646" s="37"/>
    </row>
    <row r="647">
      <c r="B647" s="37"/>
    </row>
    <row r="648">
      <c r="B648" s="37"/>
    </row>
    <row r="649">
      <c r="B649" s="37"/>
    </row>
    <row r="650">
      <c r="B650" s="37"/>
    </row>
    <row r="651">
      <c r="B651" s="37"/>
    </row>
    <row r="652">
      <c r="B652" s="37"/>
    </row>
    <row r="653">
      <c r="B653" s="37"/>
    </row>
    <row r="654">
      <c r="B654" s="37"/>
    </row>
    <row r="655">
      <c r="B655" s="37"/>
    </row>
    <row r="656">
      <c r="B656" s="37"/>
    </row>
    <row r="657">
      <c r="B657" s="37"/>
    </row>
    <row r="658">
      <c r="B658" s="37"/>
    </row>
    <row r="659">
      <c r="B659" s="37"/>
    </row>
    <row r="660">
      <c r="B660" s="37"/>
    </row>
    <row r="661">
      <c r="B661" s="37"/>
    </row>
    <row r="662">
      <c r="B662" s="37"/>
    </row>
    <row r="663">
      <c r="B663" s="37"/>
    </row>
    <row r="664">
      <c r="B664" s="37"/>
    </row>
    <row r="665">
      <c r="B665" s="37"/>
    </row>
    <row r="666">
      <c r="B666" s="37"/>
    </row>
    <row r="667">
      <c r="B667" s="37"/>
    </row>
    <row r="668">
      <c r="B668" s="37"/>
    </row>
    <row r="669">
      <c r="B669" s="37"/>
    </row>
    <row r="670">
      <c r="B670" s="37"/>
    </row>
    <row r="671">
      <c r="B671" s="37"/>
    </row>
    <row r="672">
      <c r="B672" s="37"/>
    </row>
    <row r="673">
      <c r="B673" s="37"/>
    </row>
    <row r="674">
      <c r="B674" s="37"/>
    </row>
    <row r="675">
      <c r="B675" s="37"/>
    </row>
    <row r="676">
      <c r="B676" s="37"/>
    </row>
    <row r="677">
      <c r="B677" s="37"/>
    </row>
    <row r="678">
      <c r="B678" s="37"/>
    </row>
    <row r="679">
      <c r="B679" s="37"/>
    </row>
    <row r="680">
      <c r="B680" s="37"/>
    </row>
    <row r="681">
      <c r="B681" s="37"/>
    </row>
    <row r="682">
      <c r="B682" s="37"/>
    </row>
    <row r="683">
      <c r="B683" s="37"/>
    </row>
    <row r="684">
      <c r="B684" s="37"/>
    </row>
    <row r="685">
      <c r="B685" s="37"/>
    </row>
    <row r="686">
      <c r="B686" s="37"/>
    </row>
    <row r="687">
      <c r="B687" s="37"/>
    </row>
    <row r="688">
      <c r="B688" s="37"/>
    </row>
    <row r="689">
      <c r="B689" s="37"/>
    </row>
    <row r="690">
      <c r="B690" s="37"/>
    </row>
    <row r="691">
      <c r="B691" s="37"/>
    </row>
    <row r="692">
      <c r="B692" s="37"/>
    </row>
    <row r="693">
      <c r="B693" s="37"/>
    </row>
    <row r="694">
      <c r="B694" s="37"/>
    </row>
    <row r="695">
      <c r="B695" s="37"/>
    </row>
    <row r="696">
      <c r="B696" s="37"/>
    </row>
    <row r="697">
      <c r="B697" s="37"/>
    </row>
    <row r="698">
      <c r="B698" s="37"/>
    </row>
    <row r="699">
      <c r="B699" s="37"/>
    </row>
    <row r="700">
      <c r="B700" s="37"/>
    </row>
    <row r="701">
      <c r="B701" s="37"/>
    </row>
    <row r="702">
      <c r="B702" s="37"/>
    </row>
    <row r="703">
      <c r="B703" s="37"/>
    </row>
    <row r="704">
      <c r="B704" s="37"/>
    </row>
    <row r="705">
      <c r="B705" s="37"/>
    </row>
    <row r="706">
      <c r="B706" s="37"/>
    </row>
    <row r="707">
      <c r="B707" s="37"/>
    </row>
    <row r="708">
      <c r="B708" s="37"/>
    </row>
    <row r="709">
      <c r="B709" s="37"/>
    </row>
    <row r="710">
      <c r="B710" s="37"/>
    </row>
    <row r="711">
      <c r="B711" s="37"/>
    </row>
    <row r="712">
      <c r="B712" s="37"/>
    </row>
    <row r="713">
      <c r="B713" s="37"/>
    </row>
    <row r="714">
      <c r="B714" s="37"/>
    </row>
    <row r="715">
      <c r="B715" s="37"/>
    </row>
    <row r="716">
      <c r="B716" s="37"/>
    </row>
    <row r="717">
      <c r="B717" s="37"/>
    </row>
    <row r="718">
      <c r="B718" s="37"/>
    </row>
    <row r="719">
      <c r="B719" s="37"/>
    </row>
    <row r="720">
      <c r="B720" s="37"/>
    </row>
    <row r="721">
      <c r="B721" s="37"/>
    </row>
    <row r="722">
      <c r="B722" s="37"/>
    </row>
    <row r="723">
      <c r="B723" s="37"/>
    </row>
    <row r="724">
      <c r="B724" s="37"/>
    </row>
    <row r="725">
      <c r="B725" s="37"/>
    </row>
    <row r="726">
      <c r="B726" s="37"/>
    </row>
    <row r="727">
      <c r="B727" s="37"/>
    </row>
    <row r="728">
      <c r="B728" s="37"/>
    </row>
    <row r="729">
      <c r="B729" s="37"/>
    </row>
    <row r="730">
      <c r="B730" s="37"/>
    </row>
    <row r="731">
      <c r="B731" s="37"/>
    </row>
    <row r="732">
      <c r="B732" s="37"/>
    </row>
    <row r="733">
      <c r="B733" s="37"/>
    </row>
    <row r="734">
      <c r="B734" s="37"/>
    </row>
    <row r="735">
      <c r="B735" s="37"/>
    </row>
    <row r="736">
      <c r="B736" s="37"/>
    </row>
    <row r="737">
      <c r="B737" s="37"/>
    </row>
    <row r="738">
      <c r="B738" s="37"/>
    </row>
    <row r="739">
      <c r="B739" s="37"/>
    </row>
    <row r="740">
      <c r="B740" s="37"/>
    </row>
    <row r="741">
      <c r="B741" s="37"/>
    </row>
    <row r="742">
      <c r="B742" s="37"/>
    </row>
    <row r="743">
      <c r="B743" s="37"/>
    </row>
    <row r="744">
      <c r="B744" s="37"/>
    </row>
    <row r="745">
      <c r="B745" s="37"/>
    </row>
    <row r="746">
      <c r="B746" s="37"/>
    </row>
    <row r="747">
      <c r="B747" s="37"/>
    </row>
    <row r="748">
      <c r="B748" s="37"/>
    </row>
    <row r="749">
      <c r="B749" s="37"/>
    </row>
    <row r="750">
      <c r="B750" s="37"/>
    </row>
    <row r="751">
      <c r="B751" s="37"/>
    </row>
    <row r="752">
      <c r="B752" s="37"/>
    </row>
    <row r="753">
      <c r="B753" s="37"/>
    </row>
    <row r="754">
      <c r="B754" s="37"/>
    </row>
    <row r="755">
      <c r="B755" s="37"/>
    </row>
    <row r="756">
      <c r="B756" s="37"/>
    </row>
    <row r="757">
      <c r="B757" s="37"/>
    </row>
    <row r="758">
      <c r="B758" s="37"/>
    </row>
    <row r="759">
      <c r="B759" s="37"/>
    </row>
    <row r="760">
      <c r="B760" s="37"/>
    </row>
    <row r="761">
      <c r="B761" s="37"/>
    </row>
    <row r="762">
      <c r="B762" s="37"/>
    </row>
    <row r="763">
      <c r="B763" s="37"/>
    </row>
    <row r="764">
      <c r="B764" s="37"/>
    </row>
    <row r="765">
      <c r="B765" s="37"/>
    </row>
    <row r="766">
      <c r="B766" s="37"/>
    </row>
    <row r="767">
      <c r="B767" s="37"/>
    </row>
    <row r="768">
      <c r="B768" s="37"/>
    </row>
    <row r="769">
      <c r="B769" s="37"/>
    </row>
    <row r="770">
      <c r="B770" s="37"/>
    </row>
    <row r="771">
      <c r="B771" s="37"/>
    </row>
    <row r="772">
      <c r="B772" s="37"/>
    </row>
    <row r="773">
      <c r="B773" s="37"/>
    </row>
    <row r="774">
      <c r="B774" s="37"/>
    </row>
    <row r="775">
      <c r="B775" s="37"/>
    </row>
    <row r="776">
      <c r="B776" s="37"/>
    </row>
    <row r="777">
      <c r="B777" s="37"/>
    </row>
    <row r="778">
      <c r="B778" s="37"/>
    </row>
    <row r="779">
      <c r="B779" s="37"/>
    </row>
    <row r="780">
      <c r="B780" s="37"/>
    </row>
    <row r="781">
      <c r="B781" s="37"/>
    </row>
    <row r="782">
      <c r="B782" s="37"/>
    </row>
    <row r="783">
      <c r="B783" s="37"/>
    </row>
    <row r="784">
      <c r="B784" s="37"/>
    </row>
    <row r="785">
      <c r="B785" s="37"/>
    </row>
    <row r="786">
      <c r="B786" s="37"/>
    </row>
    <row r="787">
      <c r="B787" s="37"/>
    </row>
    <row r="788">
      <c r="B788" s="37"/>
    </row>
    <row r="789">
      <c r="B789" s="37"/>
    </row>
    <row r="790">
      <c r="B790" s="37"/>
    </row>
    <row r="791">
      <c r="B791" s="37"/>
    </row>
    <row r="792">
      <c r="B792" s="37"/>
    </row>
    <row r="793">
      <c r="B793" s="37"/>
    </row>
    <row r="794">
      <c r="B794" s="37"/>
    </row>
    <row r="795">
      <c r="B795" s="37"/>
    </row>
    <row r="796">
      <c r="B796" s="37"/>
    </row>
    <row r="797">
      <c r="B797" s="37"/>
    </row>
    <row r="798">
      <c r="B798" s="37"/>
    </row>
    <row r="799">
      <c r="B799" s="37"/>
    </row>
    <row r="800">
      <c r="B800" s="37"/>
    </row>
    <row r="801">
      <c r="B801" s="37"/>
    </row>
    <row r="802">
      <c r="B802" s="37"/>
    </row>
    <row r="803">
      <c r="B803" s="37"/>
    </row>
    <row r="804">
      <c r="B804" s="37"/>
    </row>
    <row r="805">
      <c r="B805" s="37"/>
    </row>
    <row r="806">
      <c r="B806" s="37"/>
    </row>
    <row r="807">
      <c r="B807" s="37"/>
    </row>
    <row r="808">
      <c r="B808" s="37"/>
    </row>
    <row r="809">
      <c r="B809" s="37"/>
    </row>
    <row r="810">
      <c r="B810" s="37"/>
    </row>
    <row r="811">
      <c r="B811" s="37"/>
    </row>
    <row r="812">
      <c r="B812" s="37"/>
    </row>
    <row r="813">
      <c r="B813" s="37"/>
    </row>
    <row r="814">
      <c r="B814" s="37"/>
    </row>
    <row r="815">
      <c r="B815" s="37"/>
    </row>
    <row r="816">
      <c r="B816" s="37"/>
    </row>
    <row r="817">
      <c r="B817" s="37"/>
    </row>
    <row r="818">
      <c r="B818" s="37"/>
    </row>
    <row r="819">
      <c r="B819" s="37"/>
    </row>
    <row r="820">
      <c r="B820" s="37"/>
    </row>
    <row r="821">
      <c r="B821" s="37"/>
    </row>
    <row r="822">
      <c r="B822" s="37"/>
    </row>
    <row r="823">
      <c r="B823" s="37"/>
    </row>
    <row r="824">
      <c r="B824" s="37"/>
    </row>
    <row r="825">
      <c r="B825" s="37"/>
    </row>
    <row r="826">
      <c r="B826" s="37"/>
    </row>
    <row r="827">
      <c r="B827" s="37"/>
    </row>
    <row r="828">
      <c r="B828" s="37"/>
    </row>
    <row r="829">
      <c r="B829" s="37"/>
    </row>
    <row r="830">
      <c r="B830" s="37"/>
    </row>
    <row r="831">
      <c r="B831" s="37"/>
    </row>
    <row r="832">
      <c r="B832" s="37"/>
    </row>
    <row r="833">
      <c r="B833" s="37"/>
    </row>
    <row r="834">
      <c r="B834" s="37"/>
    </row>
    <row r="835">
      <c r="B835" s="37"/>
    </row>
    <row r="836">
      <c r="B836" s="37"/>
    </row>
    <row r="837">
      <c r="B837" s="37"/>
    </row>
    <row r="838">
      <c r="B838" s="37"/>
    </row>
    <row r="839">
      <c r="B839" s="37"/>
    </row>
    <row r="840">
      <c r="B840" s="37"/>
    </row>
    <row r="841">
      <c r="B841" s="37"/>
    </row>
    <row r="842">
      <c r="B842" s="37"/>
    </row>
    <row r="843">
      <c r="B843" s="37"/>
    </row>
    <row r="844">
      <c r="B844" s="37"/>
    </row>
    <row r="845">
      <c r="B845" s="37"/>
    </row>
    <row r="846">
      <c r="B846" s="37"/>
    </row>
    <row r="847">
      <c r="B847" s="37"/>
    </row>
    <row r="848">
      <c r="B848" s="37"/>
    </row>
    <row r="849">
      <c r="B849" s="37"/>
    </row>
    <row r="850">
      <c r="B850" s="37"/>
    </row>
    <row r="851">
      <c r="B851" s="37"/>
    </row>
    <row r="852">
      <c r="B852" s="37"/>
    </row>
    <row r="853">
      <c r="B853" s="37"/>
    </row>
    <row r="854">
      <c r="B854" s="37"/>
    </row>
    <row r="855">
      <c r="B855" s="37"/>
    </row>
    <row r="856">
      <c r="B856" s="37"/>
    </row>
    <row r="857">
      <c r="B857" s="37"/>
    </row>
    <row r="858">
      <c r="B858" s="37"/>
    </row>
    <row r="859">
      <c r="B859" s="37"/>
    </row>
    <row r="860">
      <c r="B860" s="37"/>
    </row>
    <row r="861">
      <c r="B861" s="37"/>
    </row>
    <row r="862">
      <c r="B862" s="37"/>
    </row>
    <row r="863">
      <c r="B863" s="37"/>
    </row>
    <row r="864">
      <c r="B864" s="37"/>
    </row>
    <row r="865">
      <c r="B865" s="37"/>
    </row>
    <row r="866">
      <c r="B866" s="37"/>
    </row>
    <row r="867">
      <c r="B867" s="37"/>
    </row>
    <row r="868">
      <c r="B868" s="37"/>
    </row>
    <row r="869">
      <c r="B869" s="37"/>
    </row>
    <row r="870">
      <c r="B870" s="37"/>
    </row>
    <row r="871">
      <c r="B871" s="37"/>
    </row>
    <row r="872">
      <c r="B872" s="37"/>
    </row>
    <row r="873">
      <c r="B873" s="37"/>
    </row>
    <row r="874">
      <c r="B874" s="37"/>
    </row>
    <row r="875">
      <c r="B875" s="37"/>
    </row>
    <row r="876">
      <c r="B876" s="37"/>
    </row>
    <row r="877">
      <c r="B877" s="37"/>
    </row>
    <row r="878">
      <c r="B878" s="37"/>
    </row>
    <row r="879">
      <c r="B879" s="37"/>
    </row>
    <row r="880">
      <c r="B880" s="37"/>
    </row>
    <row r="881">
      <c r="B881" s="37"/>
    </row>
    <row r="882">
      <c r="B882" s="37"/>
    </row>
    <row r="883">
      <c r="B883" s="37"/>
    </row>
    <row r="884">
      <c r="B884" s="37"/>
    </row>
    <row r="885">
      <c r="B885" s="37"/>
    </row>
    <row r="886">
      <c r="B886" s="37"/>
    </row>
    <row r="887">
      <c r="B887" s="37"/>
    </row>
    <row r="888">
      <c r="B888" s="37"/>
    </row>
    <row r="889">
      <c r="B889" s="37"/>
    </row>
    <row r="890">
      <c r="B890" s="37"/>
    </row>
    <row r="891">
      <c r="B891" s="37"/>
    </row>
    <row r="892">
      <c r="B892" s="37"/>
    </row>
    <row r="893">
      <c r="B893" s="37"/>
    </row>
    <row r="894">
      <c r="B894" s="37"/>
    </row>
    <row r="895">
      <c r="B895" s="37"/>
    </row>
    <row r="896">
      <c r="B896" s="37"/>
    </row>
    <row r="897">
      <c r="B897" s="37"/>
    </row>
    <row r="898">
      <c r="B898" s="37"/>
    </row>
    <row r="899">
      <c r="B899" s="37"/>
    </row>
    <row r="900">
      <c r="B900" s="37"/>
    </row>
    <row r="901">
      <c r="B901" s="37"/>
    </row>
    <row r="902">
      <c r="B902" s="37"/>
    </row>
    <row r="903">
      <c r="B903" s="37"/>
    </row>
    <row r="904">
      <c r="B904" s="37"/>
    </row>
    <row r="905">
      <c r="B905" s="37"/>
    </row>
    <row r="906">
      <c r="B906" s="37"/>
    </row>
    <row r="907">
      <c r="B907" s="37"/>
    </row>
    <row r="908">
      <c r="B908" s="37"/>
    </row>
    <row r="909">
      <c r="B909" s="37"/>
    </row>
    <row r="910">
      <c r="B910" s="37"/>
    </row>
    <row r="911">
      <c r="B911" s="37"/>
    </row>
    <row r="912">
      <c r="B912" s="37"/>
    </row>
    <row r="913">
      <c r="B913" s="37"/>
    </row>
    <row r="914">
      <c r="B914" s="37"/>
    </row>
    <row r="915">
      <c r="B915" s="37"/>
    </row>
    <row r="916">
      <c r="B916" s="37"/>
    </row>
    <row r="917">
      <c r="B917" s="37"/>
    </row>
    <row r="918">
      <c r="B918" s="37"/>
    </row>
    <row r="919">
      <c r="B919" s="37"/>
    </row>
    <row r="920">
      <c r="B920" s="37"/>
    </row>
    <row r="921">
      <c r="B921" s="37"/>
    </row>
    <row r="922">
      <c r="B922" s="37"/>
    </row>
    <row r="923">
      <c r="B923" s="37"/>
    </row>
    <row r="924">
      <c r="B924" s="37"/>
    </row>
    <row r="925">
      <c r="B925" s="37"/>
    </row>
    <row r="926">
      <c r="B926" s="37"/>
    </row>
    <row r="927">
      <c r="B927" s="37"/>
    </row>
    <row r="928">
      <c r="B928" s="37"/>
    </row>
    <row r="929">
      <c r="B929" s="37"/>
    </row>
    <row r="930">
      <c r="B930" s="37"/>
    </row>
    <row r="931">
      <c r="B931" s="37"/>
    </row>
    <row r="932">
      <c r="B932" s="37"/>
    </row>
    <row r="933">
      <c r="B933" s="37"/>
    </row>
    <row r="934">
      <c r="B934" s="37"/>
    </row>
    <row r="935">
      <c r="B935" s="37"/>
    </row>
    <row r="936">
      <c r="B936" s="37"/>
    </row>
    <row r="937">
      <c r="B937" s="37"/>
    </row>
    <row r="938">
      <c r="B938" s="37"/>
    </row>
    <row r="939">
      <c r="B939" s="37"/>
    </row>
    <row r="940">
      <c r="B940" s="37"/>
    </row>
    <row r="941">
      <c r="B941" s="37"/>
    </row>
    <row r="942">
      <c r="B942" s="37"/>
    </row>
    <row r="943">
      <c r="B943" s="37"/>
    </row>
    <row r="944">
      <c r="B944" s="37"/>
    </row>
    <row r="945">
      <c r="B945" s="37"/>
    </row>
    <row r="946">
      <c r="B946" s="37"/>
    </row>
    <row r="947">
      <c r="B947" s="37"/>
    </row>
    <row r="948">
      <c r="B948" s="37"/>
    </row>
    <row r="949">
      <c r="B949" s="37"/>
    </row>
    <row r="950">
      <c r="B950" s="37"/>
    </row>
    <row r="951">
      <c r="B951" s="37"/>
    </row>
    <row r="952">
      <c r="B952" s="37"/>
    </row>
    <row r="953">
      <c r="B953" s="37"/>
    </row>
    <row r="954">
      <c r="B954" s="37"/>
    </row>
    <row r="955">
      <c r="B955" s="37"/>
    </row>
    <row r="956">
      <c r="B956" s="37"/>
    </row>
    <row r="957">
      <c r="B957" s="37"/>
    </row>
    <row r="958">
      <c r="B958" s="37"/>
    </row>
    <row r="959">
      <c r="B959" s="37"/>
    </row>
    <row r="960">
      <c r="B960" s="37"/>
    </row>
    <row r="961">
      <c r="B961" s="37"/>
    </row>
    <row r="962">
      <c r="B962" s="37"/>
    </row>
    <row r="963">
      <c r="B963" s="37"/>
    </row>
    <row r="964">
      <c r="B964" s="37"/>
    </row>
    <row r="965">
      <c r="B965" s="37"/>
    </row>
    <row r="966">
      <c r="B966" s="37"/>
    </row>
    <row r="967">
      <c r="B967" s="37"/>
    </row>
    <row r="968">
      <c r="B968" s="37"/>
    </row>
    <row r="969">
      <c r="B969" s="37"/>
    </row>
    <row r="970">
      <c r="B970" s="37"/>
    </row>
    <row r="971">
      <c r="B971" s="37"/>
    </row>
    <row r="972">
      <c r="B972" s="37"/>
    </row>
    <row r="973">
      <c r="B973" s="37"/>
    </row>
    <row r="974">
      <c r="B974" s="37"/>
    </row>
    <row r="975">
      <c r="B975" s="37"/>
    </row>
    <row r="976">
      <c r="B976" s="37"/>
    </row>
    <row r="977">
      <c r="B977" s="37"/>
    </row>
    <row r="978">
      <c r="B978" s="37"/>
    </row>
    <row r="979">
      <c r="B979" s="37"/>
    </row>
    <row r="980">
      <c r="B980" s="37"/>
    </row>
    <row r="981">
      <c r="B981" s="37"/>
    </row>
    <row r="982">
      <c r="B982" s="37"/>
    </row>
    <row r="983">
      <c r="B983" s="37"/>
    </row>
    <row r="984">
      <c r="B984" s="37"/>
    </row>
    <row r="985">
      <c r="B985" s="37"/>
    </row>
    <row r="986">
      <c r="B986" s="37"/>
    </row>
    <row r="987">
      <c r="B987" s="37"/>
    </row>
    <row r="988">
      <c r="B988" s="37"/>
    </row>
    <row r="989">
      <c r="B989" s="37"/>
    </row>
    <row r="990">
      <c r="B990" s="37"/>
    </row>
    <row r="991">
      <c r="B991" s="37"/>
    </row>
    <row r="992">
      <c r="B992" s="37"/>
    </row>
    <row r="993">
      <c r="B993" s="37"/>
    </row>
    <row r="994">
      <c r="B994" s="37"/>
    </row>
    <row r="995">
      <c r="B995" s="37"/>
    </row>
  </sheetData>
  <mergeCells count="18">
    <mergeCell ref="B1:D1"/>
    <mergeCell ref="F1:H1"/>
    <mergeCell ref="B9:D9"/>
    <mergeCell ref="B10:D10"/>
    <mergeCell ref="F10:H10"/>
    <mergeCell ref="J12:L12"/>
    <mergeCell ref="B19:D19"/>
    <mergeCell ref="F50:H50"/>
    <mergeCell ref="F51:H51"/>
    <mergeCell ref="B60:D60"/>
    <mergeCell ref="F60:H60"/>
    <mergeCell ref="F19:H19"/>
    <mergeCell ref="J21:L21"/>
    <mergeCell ref="B29:D29"/>
    <mergeCell ref="F29:H29"/>
    <mergeCell ref="B41:D41"/>
    <mergeCell ref="F41:H41"/>
    <mergeCell ref="B51:D5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4.13"/>
    <col customWidth="1" min="6" max="6" width="20.13"/>
    <col customWidth="1" min="10" max="10" width="26.5"/>
  </cols>
  <sheetData>
    <row r="1">
      <c r="B1" s="1" t="s">
        <v>0</v>
      </c>
      <c r="C1" s="2"/>
      <c r="D1" s="3"/>
      <c r="F1" s="4" t="s">
        <v>1</v>
      </c>
      <c r="G1" s="2"/>
      <c r="H1" s="3"/>
      <c r="J1" s="10" t="s">
        <v>4</v>
      </c>
      <c r="K1" s="5"/>
      <c r="L1" s="5"/>
    </row>
    <row r="2">
      <c r="B2" s="6" t="s">
        <v>2</v>
      </c>
      <c r="C2" s="7" t="s">
        <v>3</v>
      </c>
      <c r="D2" s="8"/>
      <c r="F2" s="9" t="s">
        <v>2</v>
      </c>
      <c r="G2" s="11" t="s">
        <v>3</v>
      </c>
      <c r="H2" s="12"/>
      <c r="J2" s="20">
        <f>SUM(C8,G8,G17,C17,C27,G27,C37,G35,K4,K18,K9,C47,G47,C57,G58,G66,C66)</f>
        <v>4247.52</v>
      </c>
      <c r="K2" s="13"/>
      <c r="L2" s="14"/>
    </row>
    <row r="3">
      <c r="B3" s="15" t="s">
        <v>5</v>
      </c>
      <c r="C3" s="7">
        <v>813.72</v>
      </c>
      <c r="D3" s="16" t="b">
        <v>1</v>
      </c>
      <c r="F3" s="17"/>
      <c r="G3" s="18"/>
      <c r="H3" s="19"/>
      <c r="J3" s="13"/>
      <c r="K3" s="13"/>
      <c r="L3" s="14"/>
    </row>
    <row r="4">
      <c r="B4" s="15" t="s">
        <v>6</v>
      </c>
      <c r="C4" s="7">
        <v>121.41</v>
      </c>
      <c r="D4" s="21" t="b">
        <v>1</v>
      </c>
      <c r="F4" s="15" t="s">
        <v>5</v>
      </c>
      <c r="G4" s="23"/>
      <c r="H4" s="16" t="b">
        <v>0</v>
      </c>
      <c r="J4" s="24"/>
      <c r="K4" s="25"/>
      <c r="L4" s="26"/>
    </row>
    <row r="5">
      <c r="B5" s="15" t="s">
        <v>86</v>
      </c>
      <c r="C5" s="7">
        <v>90.0</v>
      </c>
      <c r="D5" s="21" t="b">
        <v>1</v>
      </c>
      <c r="F5" s="15" t="s">
        <v>6</v>
      </c>
      <c r="G5" s="23"/>
      <c r="H5" s="16" t="b">
        <v>0</v>
      </c>
      <c r="J5" s="24"/>
      <c r="K5" s="25"/>
      <c r="L5" s="26"/>
    </row>
    <row r="6">
      <c r="A6" s="27"/>
      <c r="B6" s="15"/>
      <c r="C6" s="23"/>
      <c r="D6" s="21" t="b">
        <v>0</v>
      </c>
      <c r="F6" s="15" t="s">
        <v>10</v>
      </c>
      <c r="G6" s="23"/>
      <c r="H6" s="16" t="b">
        <v>0</v>
      </c>
      <c r="J6" s="28"/>
      <c r="K6" s="25"/>
      <c r="L6" s="26"/>
    </row>
    <row r="7">
      <c r="B7" s="15"/>
      <c r="C7" s="23"/>
      <c r="D7" s="29" t="b">
        <v>0</v>
      </c>
      <c r="F7" s="15" t="s">
        <v>11</v>
      </c>
      <c r="G7" s="23"/>
      <c r="H7" s="16" t="b">
        <v>0</v>
      </c>
      <c r="J7" s="28"/>
      <c r="K7" s="25"/>
      <c r="L7" s="26"/>
    </row>
    <row r="8">
      <c r="B8" s="30" t="s">
        <v>13</v>
      </c>
      <c r="C8" s="31">
        <f>SUM(C3:C7)</f>
        <v>1025.13</v>
      </c>
      <c r="D8" s="32" t="b">
        <v>0</v>
      </c>
      <c r="F8" s="30" t="s">
        <v>13</v>
      </c>
      <c r="G8" s="33">
        <f>SUM(G4:G7)</f>
        <v>0</v>
      </c>
      <c r="H8" s="34" t="b">
        <v>0</v>
      </c>
      <c r="J8" s="35"/>
      <c r="K8" s="36"/>
      <c r="L8" s="26"/>
    </row>
    <row r="9">
      <c r="B9" s="37"/>
      <c r="J9" s="35"/>
      <c r="K9" s="36"/>
      <c r="L9" s="36"/>
    </row>
    <row r="10">
      <c r="B10" s="1" t="s">
        <v>18</v>
      </c>
      <c r="C10" s="2"/>
      <c r="D10" s="3"/>
      <c r="F10" s="4" t="s">
        <v>19</v>
      </c>
      <c r="G10" s="2"/>
      <c r="H10" s="3"/>
    </row>
    <row r="11">
      <c r="B11" s="38" t="s">
        <v>2</v>
      </c>
      <c r="C11" s="39" t="s">
        <v>3</v>
      </c>
      <c r="D11" s="40"/>
      <c r="F11" s="9" t="s">
        <v>2</v>
      </c>
      <c r="G11" s="11" t="s">
        <v>3</v>
      </c>
      <c r="H11" s="12"/>
    </row>
    <row r="12">
      <c r="B12" s="41" t="s">
        <v>20</v>
      </c>
      <c r="C12" s="42">
        <f>10.98+17.9+7.91+52.92+53.86+41.07+42.08+51.95</f>
        <v>278.67</v>
      </c>
      <c r="D12" s="43" t="b">
        <v>1</v>
      </c>
      <c r="F12" s="22" t="s">
        <v>5</v>
      </c>
      <c r="G12" s="23"/>
      <c r="H12" s="16" t="b">
        <v>0</v>
      </c>
      <c r="J12" s="44"/>
    </row>
    <row r="13">
      <c r="B13" s="15" t="s">
        <v>6</v>
      </c>
      <c r="C13" s="42"/>
      <c r="D13" s="43" t="b">
        <v>0</v>
      </c>
      <c r="F13" s="15" t="s">
        <v>90</v>
      </c>
      <c r="G13" s="23">
        <v>103.11</v>
      </c>
      <c r="H13" s="46" t="b">
        <v>1</v>
      </c>
      <c r="J13" s="47"/>
      <c r="K13" s="48"/>
      <c r="L13" s="49"/>
    </row>
    <row r="14">
      <c r="B14" s="45" t="s">
        <v>23</v>
      </c>
      <c r="C14" s="50">
        <v>88.88</v>
      </c>
      <c r="D14" s="43" t="b">
        <v>1</v>
      </c>
      <c r="F14" s="15"/>
      <c r="G14" s="23"/>
      <c r="H14" s="46" t="b">
        <v>0</v>
      </c>
      <c r="J14" s="51"/>
      <c r="K14" s="25"/>
      <c r="L14" s="52"/>
    </row>
    <row r="15">
      <c r="B15" s="45" t="s">
        <v>96</v>
      </c>
      <c r="C15" s="50">
        <v>221.44</v>
      </c>
      <c r="D15" s="43" t="b">
        <v>1</v>
      </c>
      <c r="F15" s="15"/>
      <c r="G15" s="23"/>
      <c r="H15" s="46" t="b">
        <v>0</v>
      </c>
      <c r="J15" s="51"/>
      <c r="K15" s="25"/>
      <c r="L15" s="52"/>
    </row>
    <row r="16">
      <c r="B16" s="45" t="s">
        <v>99</v>
      </c>
      <c r="C16" s="42">
        <v>284.91</v>
      </c>
      <c r="D16" s="43" t="b">
        <v>1</v>
      </c>
      <c r="F16" s="15"/>
      <c r="G16" s="23"/>
      <c r="H16" s="46" t="b">
        <v>0</v>
      </c>
      <c r="J16" s="28"/>
      <c r="K16" s="25"/>
      <c r="L16" s="52"/>
    </row>
    <row r="17">
      <c r="B17" s="53" t="s">
        <v>13</v>
      </c>
      <c r="C17" s="54">
        <f>SUM(C12:C16)</f>
        <v>873.9</v>
      </c>
      <c r="D17" s="55" t="b">
        <v>0</v>
      </c>
      <c r="F17" s="30" t="s">
        <v>13</v>
      </c>
      <c r="G17" s="33">
        <f>SUM(G12:G16)</f>
        <v>103.11</v>
      </c>
      <c r="H17" s="34" t="b">
        <v>0</v>
      </c>
      <c r="J17" s="51"/>
      <c r="K17" s="25"/>
      <c r="L17" s="56"/>
    </row>
    <row r="18">
      <c r="B18" s="37"/>
      <c r="J18" s="57"/>
      <c r="K18" s="58"/>
      <c r="L18" s="56"/>
    </row>
    <row r="19">
      <c r="B19" s="1" t="s">
        <v>31</v>
      </c>
      <c r="C19" s="2"/>
      <c r="D19" s="3"/>
      <c r="F19" s="4" t="s">
        <v>32</v>
      </c>
      <c r="G19" s="2"/>
      <c r="H19" s="3"/>
    </row>
    <row r="20">
      <c r="B20" s="6" t="s">
        <v>2</v>
      </c>
      <c r="C20" s="11" t="s">
        <v>3</v>
      </c>
      <c r="D20" s="8"/>
      <c r="F20" s="9" t="s">
        <v>2</v>
      </c>
      <c r="G20" s="11" t="s">
        <v>3</v>
      </c>
      <c r="H20" s="12"/>
    </row>
    <row r="21">
      <c r="B21" s="15" t="s">
        <v>33</v>
      </c>
      <c r="C21" s="23"/>
      <c r="D21" s="16" t="b">
        <v>0</v>
      </c>
      <c r="F21" s="15" t="s">
        <v>5</v>
      </c>
      <c r="G21" s="23"/>
      <c r="H21" s="16" t="b">
        <v>0</v>
      </c>
      <c r="J21" s="5"/>
    </row>
    <row r="22">
      <c r="B22" s="15" t="s">
        <v>5</v>
      </c>
      <c r="C22" s="23"/>
      <c r="D22" s="16" t="b">
        <v>0</v>
      </c>
      <c r="F22" s="15" t="s">
        <v>6</v>
      </c>
      <c r="G22" s="23"/>
      <c r="H22" s="16" t="b">
        <v>0</v>
      </c>
      <c r="J22" s="13"/>
      <c r="K22" s="13"/>
      <c r="L22" s="14"/>
    </row>
    <row r="23">
      <c r="B23" s="15"/>
      <c r="C23" s="23"/>
      <c r="D23" s="16" t="b">
        <v>0</v>
      </c>
      <c r="F23" s="15" t="s">
        <v>37</v>
      </c>
      <c r="G23" s="23">
        <v>60.0</v>
      </c>
      <c r="H23" s="16" t="b">
        <v>1</v>
      </c>
      <c r="J23" s="24"/>
      <c r="K23" s="25"/>
      <c r="L23" s="26"/>
    </row>
    <row r="24">
      <c r="B24" s="15"/>
      <c r="C24" s="23"/>
      <c r="D24" s="16" t="b">
        <v>0</v>
      </c>
      <c r="F24" s="15"/>
      <c r="G24" s="23"/>
      <c r="H24" s="16" t="b">
        <v>0</v>
      </c>
      <c r="J24" s="35"/>
      <c r="K24" s="36"/>
      <c r="L24" s="36"/>
    </row>
    <row r="25">
      <c r="B25" s="15" t="s">
        <v>103</v>
      </c>
      <c r="C25" s="23">
        <v>99.7</v>
      </c>
      <c r="D25" s="16" t="b">
        <v>1</v>
      </c>
      <c r="F25" s="15"/>
      <c r="G25" s="23"/>
      <c r="H25" s="16" t="b">
        <v>0</v>
      </c>
    </row>
    <row r="26">
      <c r="B26" s="15"/>
      <c r="C26" s="23"/>
      <c r="D26" s="16" t="b">
        <v>0</v>
      </c>
      <c r="F26" s="15"/>
      <c r="G26" s="23"/>
      <c r="H26" s="16" t="b">
        <v>0</v>
      </c>
    </row>
    <row r="27">
      <c r="B27" s="30" t="s">
        <v>13</v>
      </c>
      <c r="C27" s="31">
        <f>SUM(C21:C26)</f>
        <v>99.7</v>
      </c>
      <c r="D27" s="34" t="b">
        <v>0</v>
      </c>
      <c r="F27" s="30" t="s">
        <v>13</v>
      </c>
      <c r="G27" s="33">
        <f>SUM(G21:G26)</f>
        <v>60</v>
      </c>
      <c r="H27" s="34" t="b">
        <v>0</v>
      </c>
    </row>
    <row r="28">
      <c r="B28" s="37"/>
    </row>
    <row r="29">
      <c r="B29" s="1" t="s">
        <v>40</v>
      </c>
      <c r="C29" s="2"/>
      <c r="D29" s="3"/>
      <c r="F29" s="4" t="s">
        <v>45</v>
      </c>
      <c r="G29" s="2"/>
      <c r="H29" s="3"/>
    </row>
    <row r="30">
      <c r="B30" s="6" t="s">
        <v>2</v>
      </c>
      <c r="C30" s="11" t="s">
        <v>3</v>
      </c>
      <c r="D30" s="8"/>
      <c r="F30" s="9" t="s">
        <v>2</v>
      </c>
      <c r="G30" s="11" t="s">
        <v>3</v>
      </c>
      <c r="H30" s="12"/>
      <c r="K30" s="61"/>
      <c r="L30" s="49"/>
    </row>
    <row r="31">
      <c r="B31" s="6" t="s">
        <v>108</v>
      </c>
      <c r="C31" s="7">
        <v>274.91</v>
      </c>
      <c r="D31" s="16" t="b">
        <v>1</v>
      </c>
      <c r="F31" s="15" t="s">
        <v>5</v>
      </c>
      <c r="G31" s="84">
        <v>235.49</v>
      </c>
      <c r="H31" s="16" t="b">
        <v>1</v>
      </c>
      <c r="K31" s="61"/>
      <c r="L31" s="49"/>
    </row>
    <row r="32">
      <c r="B32" s="6"/>
      <c r="C32" s="7"/>
      <c r="D32" s="16" t="b">
        <v>0</v>
      </c>
      <c r="F32" s="17" t="s">
        <v>52</v>
      </c>
      <c r="G32" s="23"/>
      <c r="H32" s="16" t="b">
        <v>0</v>
      </c>
      <c r="K32" s="61"/>
      <c r="L32" s="49"/>
    </row>
    <row r="33">
      <c r="B33" s="15" t="s">
        <v>44</v>
      </c>
      <c r="C33" s="23">
        <v>4.5</v>
      </c>
      <c r="D33" s="16" t="b">
        <v>1</v>
      </c>
      <c r="F33" s="6" t="s">
        <v>59</v>
      </c>
      <c r="G33" s="23"/>
      <c r="H33" s="16" t="b">
        <v>0</v>
      </c>
      <c r="K33" s="61"/>
      <c r="L33" s="49"/>
    </row>
    <row r="34">
      <c r="B34" s="6" t="s">
        <v>109</v>
      </c>
      <c r="C34" s="7">
        <v>324.95</v>
      </c>
      <c r="D34" s="16" t="b">
        <v>1</v>
      </c>
      <c r="F34" s="6" t="s">
        <v>54</v>
      </c>
      <c r="G34" s="23"/>
      <c r="H34" s="16" t="b">
        <v>0</v>
      </c>
      <c r="K34" s="61"/>
      <c r="L34" s="49"/>
    </row>
    <row r="35">
      <c r="B35" s="6" t="s">
        <v>110</v>
      </c>
      <c r="C35" s="7">
        <v>144.5</v>
      </c>
      <c r="D35" s="16" t="b">
        <v>1</v>
      </c>
      <c r="F35" s="30" t="s">
        <v>13</v>
      </c>
      <c r="G35" s="33">
        <f>SUM(G31:G34)</f>
        <v>235.49</v>
      </c>
      <c r="H35" s="34" t="b">
        <v>0</v>
      </c>
      <c r="K35" s="61"/>
      <c r="L35" s="49"/>
    </row>
    <row r="36">
      <c r="B36" s="6" t="s">
        <v>111</v>
      </c>
      <c r="C36" s="23">
        <f>145.83*2</f>
        <v>291.66</v>
      </c>
      <c r="D36" s="16" t="b">
        <v>1</v>
      </c>
      <c r="K36" s="61"/>
      <c r="L36" s="49"/>
    </row>
    <row r="37">
      <c r="B37" s="30" t="s">
        <v>13</v>
      </c>
      <c r="C37" s="31">
        <f>SUM(C31:C36)</f>
        <v>1040.52</v>
      </c>
      <c r="D37" s="34" t="b">
        <v>1</v>
      </c>
      <c r="K37" s="61"/>
      <c r="L37" s="49"/>
    </row>
    <row r="38">
      <c r="K38" s="61"/>
      <c r="L38" s="49"/>
    </row>
    <row r="39">
      <c r="F39" s="60"/>
      <c r="G39" s="63"/>
      <c r="K39" s="49"/>
      <c r="L39" s="49"/>
    </row>
    <row r="40">
      <c r="B40" s="37"/>
      <c r="F40" s="60"/>
      <c r="G40" s="63"/>
      <c r="K40" s="49"/>
      <c r="L40" s="49"/>
    </row>
    <row r="41">
      <c r="B41" s="4" t="s">
        <v>60</v>
      </c>
      <c r="C41" s="2"/>
      <c r="D41" s="3"/>
      <c r="F41" s="4" t="s">
        <v>61</v>
      </c>
      <c r="G41" s="2"/>
      <c r="H41" s="3"/>
      <c r="K41" s="49"/>
      <c r="L41" s="49"/>
    </row>
    <row r="42">
      <c r="B42" s="9" t="s">
        <v>2</v>
      </c>
      <c r="C42" s="11" t="s">
        <v>3</v>
      </c>
      <c r="D42" s="12"/>
      <c r="F42" s="9" t="s">
        <v>2</v>
      </c>
      <c r="G42" s="11" t="s">
        <v>3</v>
      </c>
      <c r="H42" s="12"/>
      <c r="K42" s="61"/>
      <c r="L42" s="49"/>
    </row>
    <row r="43">
      <c r="B43" s="15" t="s">
        <v>5</v>
      </c>
      <c r="C43" s="85"/>
      <c r="D43" s="16" t="b">
        <v>0</v>
      </c>
      <c r="F43" s="15" t="s">
        <v>5</v>
      </c>
      <c r="G43" s="23">
        <f>26.95+26.05+34.3+34.5</f>
        <v>121.8</v>
      </c>
      <c r="H43" s="16" t="b">
        <v>1</v>
      </c>
      <c r="K43" s="49"/>
      <c r="L43" s="49"/>
    </row>
    <row r="44">
      <c r="B44" s="17" t="s">
        <v>102</v>
      </c>
      <c r="C44" s="23"/>
      <c r="D44" s="16" t="b">
        <v>0</v>
      </c>
      <c r="F44" s="17" t="s">
        <v>65</v>
      </c>
      <c r="G44" s="23">
        <v>0.0</v>
      </c>
      <c r="H44" s="16" t="b">
        <v>0</v>
      </c>
      <c r="K44" s="49"/>
      <c r="L44" s="66"/>
    </row>
    <row r="45">
      <c r="B45" s="15" t="s">
        <v>6</v>
      </c>
      <c r="C45" s="23"/>
      <c r="D45" s="16" t="b">
        <v>0</v>
      </c>
      <c r="F45" s="6" t="s">
        <v>114</v>
      </c>
      <c r="G45" s="23">
        <f>157.2</f>
        <v>157.2</v>
      </c>
      <c r="H45" s="16" t="b">
        <v>1</v>
      </c>
      <c r="L45" s="25"/>
    </row>
    <row r="46">
      <c r="B46" s="6" t="s">
        <v>104</v>
      </c>
      <c r="C46" s="23"/>
      <c r="D46" s="16" t="b">
        <v>0</v>
      </c>
      <c r="F46" s="6" t="s">
        <v>115</v>
      </c>
      <c r="G46" s="23">
        <f>174.67</f>
        <v>174.67</v>
      </c>
      <c r="H46" s="16" t="b">
        <v>1</v>
      </c>
      <c r="L46" s="25"/>
    </row>
    <row r="47">
      <c r="B47" s="64" t="s">
        <v>13</v>
      </c>
      <c r="C47" s="33">
        <f>SUM(C43:C46)</f>
        <v>0</v>
      </c>
      <c r="D47" s="34" t="b">
        <v>0</v>
      </c>
      <c r="F47" s="64" t="s">
        <v>13</v>
      </c>
      <c r="G47" s="33">
        <f>SUM(G43:G46)</f>
        <v>453.67</v>
      </c>
      <c r="H47" s="34" t="b">
        <v>0</v>
      </c>
      <c r="L47" s="25"/>
    </row>
    <row r="48">
      <c r="B48" s="37"/>
      <c r="L48" s="36"/>
    </row>
    <row r="49">
      <c r="B49" s="37"/>
    </row>
    <row r="50">
      <c r="B50" s="37"/>
      <c r="E50" s="49"/>
      <c r="F50" s="49"/>
    </row>
    <row r="51">
      <c r="B51" s="4" t="s">
        <v>72</v>
      </c>
      <c r="C51" s="2"/>
      <c r="D51" s="3"/>
      <c r="E51" s="49"/>
      <c r="F51" s="65" t="s">
        <v>73</v>
      </c>
      <c r="G51" s="2"/>
      <c r="H51" s="3"/>
    </row>
    <row r="52">
      <c r="B52" s="9" t="s">
        <v>2</v>
      </c>
      <c r="C52" s="11" t="s">
        <v>3</v>
      </c>
      <c r="D52" s="12"/>
      <c r="E52" s="49"/>
      <c r="F52" s="67" t="s">
        <v>2</v>
      </c>
      <c r="G52" s="68" t="s">
        <v>3</v>
      </c>
      <c r="H52" s="69"/>
    </row>
    <row r="53">
      <c r="B53" s="22" t="s">
        <v>78</v>
      </c>
      <c r="C53" s="23">
        <v>279.0</v>
      </c>
      <c r="D53" s="16" t="b">
        <v>1</v>
      </c>
      <c r="E53" s="49"/>
      <c r="F53" s="70" t="s">
        <v>117</v>
      </c>
      <c r="G53" s="71">
        <v>50.0</v>
      </c>
      <c r="H53" s="72" t="b">
        <v>1</v>
      </c>
    </row>
    <row r="54">
      <c r="B54" s="15" t="s">
        <v>6</v>
      </c>
      <c r="C54" s="23"/>
      <c r="D54" s="16" t="b">
        <v>0</v>
      </c>
      <c r="E54" s="49"/>
      <c r="F54" s="38" t="s">
        <v>36</v>
      </c>
      <c r="G54" s="74"/>
      <c r="H54" s="72" t="b">
        <v>0</v>
      </c>
    </row>
    <row r="55">
      <c r="B55" s="6"/>
      <c r="C55" s="23"/>
      <c r="D55" s="16" t="b">
        <v>0</v>
      </c>
      <c r="E55" s="49"/>
      <c r="F55" s="73"/>
      <c r="G55" s="76"/>
      <c r="H55" s="75" t="b">
        <v>0</v>
      </c>
    </row>
    <row r="56">
      <c r="B56" s="6"/>
      <c r="C56" s="23"/>
      <c r="D56" s="16" t="b">
        <v>0</v>
      </c>
      <c r="E56" s="49"/>
      <c r="F56" s="73"/>
      <c r="G56" s="76"/>
      <c r="H56" s="75" t="b">
        <v>0</v>
      </c>
    </row>
    <row r="57">
      <c r="B57" s="64" t="s">
        <v>13</v>
      </c>
      <c r="C57" s="33">
        <f>SUM(C53:C56)</f>
        <v>279</v>
      </c>
      <c r="D57" s="34" t="b">
        <v>0</v>
      </c>
      <c r="E57" s="49"/>
      <c r="F57" s="77"/>
      <c r="G57" s="78"/>
      <c r="H57" s="75" t="b">
        <v>0</v>
      </c>
    </row>
    <row r="58">
      <c r="B58" s="37"/>
      <c r="E58" s="49"/>
      <c r="F58" s="79" t="s">
        <v>13</v>
      </c>
      <c r="G58" s="80">
        <f>SUM(G53:G57)</f>
        <v>50</v>
      </c>
      <c r="H58" s="81" t="b">
        <v>0</v>
      </c>
    </row>
    <row r="59">
      <c r="B59" s="37"/>
    </row>
    <row r="60">
      <c r="B60" s="4" t="s">
        <v>118</v>
      </c>
      <c r="C60" s="2"/>
      <c r="D60" s="3"/>
      <c r="F60" s="4" t="s">
        <v>119</v>
      </c>
      <c r="G60" s="2"/>
      <c r="H60" s="3"/>
    </row>
    <row r="61">
      <c r="B61" s="9" t="s">
        <v>2</v>
      </c>
      <c r="C61" s="11" t="s">
        <v>3</v>
      </c>
      <c r="D61" s="12"/>
      <c r="F61" s="9" t="s">
        <v>2</v>
      </c>
      <c r="G61" s="11" t="s">
        <v>3</v>
      </c>
      <c r="H61" s="12"/>
    </row>
    <row r="62">
      <c r="B62" s="22" t="s">
        <v>78</v>
      </c>
      <c r="C62" s="23">
        <v>27.0</v>
      </c>
      <c r="D62" s="16" t="b">
        <v>1</v>
      </c>
      <c r="F62" s="15" t="s">
        <v>121</v>
      </c>
      <c r="G62" s="23"/>
      <c r="H62" s="16" t="b">
        <v>0</v>
      </c>
    </row>
    <row r="63">
      <c r="B63" s="15" t="s">
        <v>6</v>
      </c>
      <c r="C63" s="23"/>
      <c r="D63" s="16" t="b">
        <v>0</v>
      </c>
      <c r="F63" s="15"/>
      <c r="G63" s="23"/>
      <c r="H63" s="16" t="b">
        <v>0</v>
      </c>
    </row>
    <row r="64">
      <c r="B64" s="6"/>
      <c r="C64" s="23"/>
      <c r="D64" s="16" t="b">
        <v>0</v>
      </c>
      <c r="F64" s="6"/>
      <c r="G64" s="23"/>
      <c r="H64" s="16" t="b">
        <v>0</v>
      </c>
    </row>
    <row r="65">
      <c r="B65" s="6"/>
      <c r="C65" s="23"/>
      <c r="D65" s="16" t="b">
        <v>0</v>
      </c>
      <c r="F65" s="6"/>
      <c r="G65" s="23"/>
      <c r="H65" s="16" t="b">
        <v>0</v>
      </c>
    </row>
    <row r="66">
      <c r="B66" s="64" t="s">
        <v>13</v>
      </c>
      <c r="C66" s="33">
        <f>SUM(C62:C65)</f>
        <v>27</v>
      </c>
      <c r="D66" s="34" t="b">
        <v>0</v>
      </c>
      <c r="F66" s="64" t="s">
        <v>13</v>
      </c>
      <c r="G66" s="33">
        <f>SUM(G62:G65)</f>
        <v>0</v>
      </c>
      <c r="H66" s="34" t="b">
        <v>0</v>
      </c>
    </row>
    <row r="67">
      <c r="B67" s="37"/>
    </row>
    <row r="68">
      <c r="B68" s="37"/>
    </row>
    <row r="69">
      <c r="B69" s="37"/>
    </row>
    <row r="70">
      <c r="B70" s="37"/>
    </row>
    <row r="71">
      <c r="B71" s="37"/>
    </row>
    <row r="72">
      <c r="B72" s="37"/>
    </row>
    <row r="73">
      <c r="B73" s="37"/>
    </row>
    <row r="74">
      <c r="B74" s="37"/>
    </row>
    <row r="75">
      <c r="B75" s="37"/>
    </row>
    <row r="76">
      <c r="B76" s="37"/>
    </row>
    <row r="77">
      <c r="B77" s="37"/>
    </row>
    <row r="78">
      <c r="B78" s="37"/>
    </row>
    <row r="79">
      <c r="B79" s="37"/>
    </row>
    <row r="80">
      <c r="B80" s="37"/>
    </row>
    <row r="81">
      <c r="B81" s="37"/>
    </row>
    <row r="82">
      <c r="B82" s="37"/>
    </row>
    <row r="83">
      <c r="B83" s="37"/>
    </row>
    <row r="84">
      <c r="B84" s="37"/>
    </row>
    <row r="85">
      <c r="B85" s="37"/>
    </row>
    <row r="86">
      <c r="B86" s="37"/>
    </row>
    <row r="87">
      <c r="B87" s="37"/>
    </row>
    <row r="88">
      <c r="B88" s="37"/>
    </row>
    <row r="89">
      <c r="B89" s="37"/>
    </row>
    <row r="90">
      <c r="B90" s="37"/>
    </row>
    <row r="91">
      <c r="B91" s="37"/>
    </row>
    <row r="92">
      <c r="B92" s="37"/>
    </row>
    <row r="93">
      <c r="B93" s="37"/>
    </row>
    <row r="94">
      <c r="B94" s="37"/>
    </row>
    <row r="95">
      <c r="B95" s="37"/>
    </row>
    <row r="96">
      <c r="B96" s="37"/>
    </row>
    <row r="97">
      <c r="B97" s="37"/>
    </row>
    <row r="98">
      <c r="B98" s="37"/>
    </row>
    <row r="99">
      <c r="B99" s="37"/>
    </row>
    <row r="100">
      <c r="B100" s="37"/>
    </row>
    <row r="101">
      <c r="B101" s="37"/>
    </row>
    <row r="102">
      <c r="B102" s="37"/>
    </row>
    <row r="103">
      <c r="B103" s="37"/>
    </row>
    <row r="104">
      <c r="B104" s="37"/>
    </row>
    <row r="105">
      <c r="B105" s="37"/>
    </row>
    <row r="106">
      <c r="B106" s="37"/>
    </row>
    <row r="107">
      <c r="B107" s="37"/>
    </row>
    <row r="108">
      <c r="B108" s="37"/>
    </row>
    <row r="109">
      <c r="B109" s="37"/>
    </row>
    <row r="110">
      <c r="B110" s="37"/>
    </row>
    <row r="111">
      <c r="B111" s="37"/>
    </row>
    <row r="112">
      <c r="B112" s="37"/>
    </row>
    <row r="113">
      <c r="B113" s="37"/>
    </row>
    <row r="114">
      <c r="B114" s="37"/>
    </row>
    <row r="115">
      <c r="B115" s="37"/>
    </row>
    <row r="116">
      <c r="B116" s="37"/>
    </row>
    <row r="117">
      <c r="B117" s="37"/>
    </row>
    <row r="118">
      <c r="B118" s="37"/>
    </row>
    <row r="119">
      <c r="B119" s="37"/>
    </row>
    <row r="120">
      <c r="B120" s="37"/>
    </row>
    <row r="121">
      <c r="B121" s="37"/>
    </row>
    <row r="122">
      <c r="B122" s="37"/>
    </row>
    <row r="123">
      <c r="B123" s="37"/>
    </row>
    <row r="124">
      <c r="B124" s="37"/>
    </row>
    <row r="125">
      <c r="B125" s="37"/>
    </row>
    <row r="126">
      <c r="B126" s="37"/>
    </row>
    <row r="127">
      <c r="B127" s="37"/>
    </row>
    <row r="128">
      <c r="B128" s="37"/>
    </row>
    <row r="129">
      <c r="B129" s="37"/>
    </row>
    <row r="130">
      <c r="B130" s="37"/>
    </row>
    <row r="131">
      <c r="B131" s="37"/>
    </row>
    <row r="132">
      <c r="B132" s="37"/>
    </row>
    <row r="133">
      <c r="B133" s="37"/>
    </row>
    <row r="134">
      <c r="B134" s="37"/>
    </row>
    <row r="135">
      <c r="B135" s="37"/>
    </row>
    <row r="136">
      <c r="B136" s="37"/>
    </row>
    <row r="137">
      <c r="B137" s="37"/>
    </row>
    <row r="138">
      <c r="B138" s="37"/>
    </row>
    <row r="139">
      <c r="B139" s="37"/>
    </row>
    <row r="140">
      <c r="B140" s="37"/>
    </row>
    <row r="141">
      <c r="B141" s="37"/>
    </row>
    <row r="142">
      <c r="B142" s="37"/>
    </row>
    <row r="143">
      <c r="B143" s="37"/>
    </row>
    <row r="144">
      <c r="B144" s="37"/>
    </row>
    <row r="145">
      <c r="B145" s="37"/>
    </row>
    <row r="146">
      <c r="B146" s="37"/>
    </row>
    <row r="147">
      <c r="B147" s="37"/>
    </row>
    <row r="148">
      <c r="B148" s="37"/>
    </row>
    <row r="149">
      <c r="B149" s="37"/>
    </row>
    <row r="150">
      <c r="B150" s="37"/>
    </row>
    <row r="151">
      <c r="B151" s="37"/>
    </row>
    <row r="152">
      <c r="B152" s="37"/>
    </row>
    <row r="153">
      <c r="B153" s="37"/>
    </row>
    <row r="154">
      <c r="B154" s="37"/>
    </row>
    <row r="155">
      <c r="B155" s="37"/>
    </row>
    <row r="156">
      <c r="B156" s="37"/>
    </row>
    <row r="157">
      <c r="B157" s="37"/>
    </row>
    <row r="158">
      <c r="B158" s="37"/>
    </row>
    <row r="159">
      <c r="B159" s="37"/>
    </row>
    <row r="160">
      <c r="B160" s="37"/>
    </row>
    <row r="161">
      <c r="B161" s="37"/>
    </row>
    <row r="162">
      <c r="B162" s="37"/>
    </row>
    <row r="163">
      <c r="B163" s="37"/>
    </row>
    <row r="164">
      <c r="B164" s="37"/>
    </row>
    <row r="165">
      <c r="B165" s="37"/>
    </row>
    <row r="166">
      <c r="B166" s="37"/>
    </row>
    <row r="167">
      <c r="B167" s="37"/>
    </row>
    <row r="168">
      <c r="B168" s="37"/>
    </row>
    <row r="169">
      <c r="B169" s="37"/>
    </row>
    <row r="170">
      <c r="B170" s="37"/>
    </row>
    <row r="171">
      <c r="B171" s="37"/>
    </row>
    <row r="172">
      <c r="B172" s="37"/>
    </row>
    <row r="173">
      <c r="B173" s="37"/>
    </row>
    <row r="174">
      <c r="B174" s="37"/>
    </row>
    <row r="175">
      <c r="B175" s="37"/>
    </row>
    <row r="176">
      <c r="B176" s="37"/>
    </row>
    <row r="177">
      <c r="B177" s="37"/>
    </row>
    <row r="178">
      <c r="B178" s="37"/>
    </row>
    <row r="179">
      <c r="B179" s="37"/>
    </row>
    <row r="180">
      <c r="B180" s="37"/>
    </row>
    <row r="181">
      <c r="B181" s="37"/>
    </row>
    <row r="182">
      <c r="B182" s="37"/>
    </row>
    <row r="183">
      <c r="B183" s="37"/>
    </row>
    <row r="184">
      <c r="B184" s="37"/>
    </row>
    <row r="185">
      <c r="B185" s="37"/>
    </row>
    <row r="186">
      <c r="B186" s="37"/>
    </row>
    <row r="187">
      <c r="B187" s="37"/>
    </row>
    <row r="188">
      <c r="B188" s="37"/>
    </row>
    <row r="189">
      <c r="B189" s="37"/>
    </row>
    <row r="190">
      <c r="B190" s="37"/>
    </row>
    <row r="191">
      <c r="B191" s="37"/>
    </row>
    <row r="192">
      <c r="B192" s="37"/>
    </row>
    <row r="193">
      <c r="B193" s="37"/>
    </row>
    <row r="194">
      <c r="B194" s="37"/>
    </row>
    <row r="195">
      <c r="B195" s="37"/>
    </row>
    <row r="196">
      <c r="B196" s="37"/>
    </row>
    <row r="197">
      <c r="B197" s="37"/>
    </row>
    <row r="198">
      <c r="B198" s="37"/>
    </row>
    <row r="199">
      <c r="B199" s="37"/>
    </row>
    <row r="200">
      <c r="B200" s="37"/>
    </row>
    <row r="201">
      <c r="B201" s="37"/>
    </row>
    <row r="202">
      <c r="B202" s="37"/>
    </row>
    <row r="203">
      <c r="B203" s="37"/>
    </row>
    <row r="204">
      <c r="B204" s="37"/>
    </row>
    <row r="205">
      <c r="B205" s="37"/>
    </row>
    <row r="206">
      <c r="B206" s="37"/>
    </row>
    <row r="207">
      <c r="B207" s="37"/>
    </row>
    <row r="208">
      <c r="B208" s="37"/>
    </row>
    <row r="209">
      <c r="B209" s="37"/>
    </row>
    <row r="210">
      <c r="B210" s="37"/>
    </row>
    <row r="211">
      <c r="B211" s="37"/>
    </row>
    <row r="212">
      <c r="B212" s="37"/>
    </row>
    <row r="213">
      <c r="B213" s="37"/>
    </row>
    <row r="214">
      <c r="B214" s="37"/>
    </row>
    <row r="215">
      <c r="B215" s="37"/>
    </row>
    <row r="216">
      <c r="B216" s="37"/>
    </row>
    <row r="217">
      <c r="B217" s="37"/>
    </row>
    <row r="218">
      <c r="B218" s="37"/>
    </row>
    <row r="219">
      <c r="B219" s="37"/>
    </row>
    <row r="220">
      <c r="B220" s="37"/>
    </row>
    <row r="221">
      <c r="B221" s="37"/>
    </row>
    <row r="222">
      <c r="B222" s="37"/>
    </row>
    <row r="223">
      <c r="B223" s="37"/>
    </row>
    <row r="224">
      <c r="B224" s="37"/>
    </row>
    <row r="225">
      <c r="B225" s="37"/>
    </row>
    <row r="226">
      <c r="B226" s="37"/>
    </row>
    <row r="227">
      <c r="B227" s="37"/>
    </row>
    <row r="228">
      <c r="B228" s="37"/>
    </row>
    <row r="229">
      <c r="B229" s="37"/>
    </row>
    <row r="230">
      <c r="B230" s="37"/>
    </row>
    <row r="231">
      <c r="B231" s="37"/>
    </row>
    <row r="232">
      <c r="B232" s="37"/>
    </row>
    <row r="233">
      <c r="B233" s="37"/>
    </row>
    <row r="234">
      <c r="B234" s="37"/>
    </row>
    <row r="235">
      <c r="B235" s="37"/>
    </row>
    <row r="236">
      <c r="B236" s="37"/>
    </row>
    <row r="237">
      <c r="B237" s="37"/>
    </row>
    <row r="238">
      <c r="B238" s="37"/>
    </row>
    <row r="239">
      <c r="B239" s="37"/>
    </row>
    <row r="240">
      <c r="B240" s="37"/>
    </row>
    <row r="241">
      <c r="B241" s="37"/>
    </row>
    <row r="242">
      <c r="B242" s="37"/>
    </row>
    <row r="243">
      <c r="B243" s="37"/>
    </row>
    <row r="244">
      <c r="B244" s="37"/>
    </row>
    <row r="245">
      <c r="B245" s="37"/>
    </row>
    <row r="246">
      <c r="B246" s="37"/>
    </row>
    <row r="247">
      <c r="B247" s="37"/>
    </row>
    <row r="248">
      <c r="B248" s="37"/>
    </row>
    <row r="249">
      <c r="B249" s="37"/>
    </row>
    <row r="250">
      <c r="B250" s="37"/>
    </row>
    <row r="251">
      <c r="B251" s="37"/>
    </row>
    <row r="252">
      <c r="B252" s="37"/>
    </row>
    <row r="253">
      <c r="B253" s="37"/>
    </row>
    <row r="254">
      <c r="B254" s="37"/>
    </row>
    <row r="255">
      <c r="B255" s="37"/>
    </row>
    <row r="256">
      <c r="B256" s="37"/>
    </row>
    <row r="257">
      <c r="B257" s="37"/>
    </row>
    <row r="258">
      <c r="B258" s="37"/>
    </row>
    <row r="259">
      <c r="B259" s="37"/>
    </row>
    <row r="260">
      <c r="B260" s="37"/>
    </row>
    <row r="261">
      <c r="B261" s="37"/>
    </row>
    <row r="262">
      <c r="B262" s="37"/>
    </row>
    <row r="263">
      <c r="B263" s="37"/>
    </row>
    <row r="264">
      <c r="B264" s="37"/>
    </row>
    <row r="265">
      <c r="B265" s="37"/>
    </row>
    <row r="266">
      <c r="B266" s="37"/>
    </row>
    <row r="267">
      <c r="B267" s="37"/>
    </row>
    <row r="268">
      <c r="B268" s="37"/>
    </row>
    <row r="269">
      <c r="B269" s="37"/>
    </row>
    <row r="270">
      <c r="B270" s="37"/>
    </row>
    <row r="271">
      <c r="B271" s="37"/>
    </row>
    <row r="272">
      <c r="B272" s="37"/>
    </row>
    <row r="273">
      <c r="B273" s="37"/>
    </row>
    <row r="274">
      <c r="B274" s="37"/>
    </row>
    <row r="275">
      <c r="B275" s="37"/>
    </row>
    <row r="276">
      <c r="B276" s="37"/>
    </row>
    <row r="277">
      <c r="B277" s="37"/>
    </row>
    <row r="278">
      <c r="B278" s="37"/>
    </row>
    <row r="279">
      <c r="B279" s="37"/>
    </row>
    <row r="280">
      <c r="B280" s="37"/>
    </row>
    <row r="281">
      <c r="B281" s="37"/>
    </row>
    <row r="282">
      <c r="B282" s="37"/>
    </row>
    <row r="283">
      <c r="B283" s="37"/>
    </row>
    <row r="284">
      <c r="B284" s="37"/>
    </row>
    <row r="285">
      <c r="B285" s="37"/>
    </row>
    <row r="286">
      <c r="B286" s="37"/>
    </row>
    <row r="287">
      <c r="B287" s="37"/>
    </row>
    <row r="288">
      <c r="B288" s="37"/>
    </row>
    <row r="289">
      <c r="B289" s="37"/>
    </row>
    <row r="290">
      <c r="B290" s="37"/>
    </row>
    <row r="291">
      <c r="B291" s="37"/>
    </row>
    <row r="292">
      <c r="B292" s="37"/>
    </row>
    <row r="293">
      <c r="B293" s="37"/>
    </row>
    <row r="294">
      <c r="B294" s="37"/>
    </row>
    <row r="295">
      <c r="B295" s="37"/>
    </row>
    <row r="296">
      <c r="B296" s="37"/>
    </row>
    <row r="297">
      <c r="B297" s="37"/>
    </row>
    <row r="298">
      <c r="B298" s="37"/>
    </row>
    <row r="299">
      <c r="B299" s="37"/>
    </row>
    <row r="300">
      <c r="B300" s="37"/>
    </row>
    <row r="301">
      <c r="B301" s="37"/>
    </row>
    <row r="302">
      <c r="B302" s="37"/>
    </row>
    <row r="303">
      <c r="B303" s="37"/>
    </row>
    <row r="304">
      <c r="B304" s="37"/>
    </row>
    <row r="305">
      <c r="B305" s="37"/>
    </row>
    <row r="306">
      <c r="B306" s="37"/>
    </row>
    <row r="307">
      <c r="B307" s="37"/>
    </row>
    <row r="308">
      <c r="B308" s="37"/>
    </row>
    <row r="309">
      <c r="B309" s="37"/>
    </row>
    <row r="310">
      <c r="B310" s="37"/>
    </row>
    <row r="311">
      <c r="B311" s="37"/>
    </row>
    <row r="312">
      <c r="B312" s="37"/>
    </row>
    <row r="313">
      <c r="B313" s="37"/>
    </row>
    <row r="314">
      <c r="B314" s="37"/>
    </row>
    <row r="315">
      <c r="B315" s="37"/>
    </row>
    <row r="316">
      <c r="B316" s="37"/>
    </row>
    <row r="317">
      <c r="B317" s="37"/>
    </row>
    <row r="318">
      <c r="B318" s="37"/>
    </row>
    <row r="319">
      <c r="B319" s="37"/>
    </row>
    <row r="320">
      <c r="B320" s="37"/>
    </row>
    <row r="321">
      <c r="B321" s="37"/>
    </row>
    <row r="322">
      <c r="B322" s="37"/>
    </row>
    <row r="323">
      <c r="B323" s="37"/>
    </row>
    <row r="324">
      <c r="B324" s="37"/>
    </row>
    <row r="325">
      <c r="B325" s="37"/>
    </row>
    <row r="326">
      <c r="B326" s="37"/>
    </row>
    <row r="327">
      <c r="B327" s="37"/>
    </row>
    <row r="328">
      <c r="B328" s="37"/>
    </row>
    <row r="329">
      <c r="B329" s="37"/>
    </row>
    <row r="330">
      <c r="B330" s="37"/>
    </row>
    <row r="331">
      <c r="B331" s="37"/>
    </row>
    <row r="332">
      <c r="B332" s="37"/>
    </row>
    <row r="333">
      <c r="B333" s="37"/>
    </row>
    <row r="334">
      <c r="B334" s="37"/>
    </row>
    <row r="335">
      <c r="B335" s="37"/>
    </row>
    <row r="336">
      <c r="B336" s="37"/>
    </row>
    <row r="337">
      <c r="B337" s="37"/>
    </row>
    <row r="338">
      <c r="B338" s="37"/>
    </row>
    <row r="339">
      <c r="B339" s="37"/>
    </row>
    <row r="340">
      <c r="B340" s="37"/>
    </row>
    <row r="341">
      <c r="B341" s="37"/>
    </row>
    <row r="342">
      <c r="B342" s="37"/>
    </row>
    <row r="343">
      <c r="B343" s="37"/>
    </row>
    <row r="344">
      <c r="B344" s="37"/>
    </row>
    <row r="345">
      <c r="B345" s="37"/>
    </row>
    <row r="346">
      <c r="B346" s="37"/>
    </row>
    <row r="347">
      <c r="B347" s="37"/>
    </row>
    <row r="348">
      <c r="B348" s="37"/>
    </row>
    <row r="349">
      <c r="B349" s="37"/>
    </row>
    <row r="350">
      <c r="B350" s="37"/>
    </row>
    <row r="351">
      <c r="B351" s="37"/>
    </row>
    <row r="352">
      <c r="B352" s="37"/>
    </row>
    <row r="353">
      <c r="B353" s="37"/>
    </row>
    <row r="354">
      <c r="B354" s="37"/>
    </row>
    <row r="355">
      <c r="B355" s="37"/>
    </row>
    <row r="356">
      <c r="B356" s="37"/>
    </row>
    <row r="357">
      <c r="B357" s="37"/>
    </row>
    <row r="358">
      <c r="B358" s="37"/>
    </row>
    <row r="359">
      <c r="B359" s="37"/>
    </row>
    <row r="360">
      <c r="B360" s="37"/>
    </row>
    <row r="361">
      <c r="B361" s="37"/>
    </row>
    <row r="362">
      <c r="B362" s="37"/>
    </row>
    <row r="363">
      <c r="B363" s="37"/>
    </row>
    <row r="364">
      <c r="B364" s="37"/>
    </row>
    <row r="365">
      <c r="B365" s="37"/>
    </row>
    <row r="366">
      <c r="B366" s="37"/>
    </row>
    <row r="367">
      <c r="B367" s="37"/>
    </row>
    <row r="368">
      <c r="B368" s="37"/>
    </row>
    <row r="369">
      <c r="B369" s="37"/>
    </row>
    <row r="370">
      <c r="B370" s="37"/>
    </row>
    <row r="371">
      <c r="B371" s="37"/>
    </row>
    <row r="372">
      <c r="B372" s="37"/>
    </row>
    <row r="373">
      <c r="B373" s="37"/>
    </row>
    <row r="374">
      <c r="B374" s="37"/>
    </row>
    <row r="375">
      <c r="B375" s="37"/>
    </row>
    <row r="376">
      <c r="B376" s="37"/>
    </row>
    <row r="377">
      <c r="B377" s="37"/>
    </row>
    <row r="378">
      <c r="B378" s="37"/>
    </row>
    <row r="379">
      <c r="B379" s="37"/>
    </row>
    <row r="380">
      <c r="B380" s="37"/>
    </row>
    <row r="381">
      <c r="B381" s="37"/>
    </row>
    <row r="382">
      <c r="B382" s="37"/>
    </row>
    <row r="383">
      <c r="B383" s="37"/>
    </row>
    <row r="384">
      <c r="B384" s="37"/>
    </row>
    <row r="385">
      <c r="B385" s="37"/>
    </row>
    <row r="386">
      <c r="B386" s="37"/>
    </row>
    <row r="387">
      <c r="B387" s="37"/>
    </row>
    <row r="388">
      <c r="B388" s="37"/>
    </row>
    <row r="389">
      <c r="B389" s="37"/>
    </row>
    <row r="390">
      <c r="B390" s="37"/>
    </row>
    <row r="391">
      <c r="B391" s="37"/>
    </row>
    <row r="392">
      <c r="B392" s="37"/>
    </row>
    <row r="393">
      <c r="B393" s="37"/>
    </row>
    <row r="394">
      <c r="B394" s="37"/>
    </row>
    <row r="395">
      <c r="B395" s="37"/>
    </row>
    <row r="396">
      <c r="B396" s="37"/>
    </row>
    <row r="397">
      <c r="B397" s="37"/>
    </row>
    <row r="398">
      <c r="B398" s="37"/>
    </row>
    <row r="399">
      <c r="B399" s="37"/>
    </row>
    <row r="400">
      <c r="B400" s="37"/>
    </row>
    <row r="401">
      <c r="B401" s="37"/>
    </row>
    <row r="402">
      <c r="B402" s="37"/>
    </row>
    <row r="403">
      <c r="B403" s="37"/>
    </row>
    <row r="404">
      <c r="B404" s="37"/>
    </row>
    <row r="405">
      <c r="B405" s="37"/>
    </row>
    <row r="406">
      <c r="B406" s="37"/>
    </row>
    <row r="407">
      <c r="B407" s="37"/>
    </row>
    <row r="408">
      <c r="B408" s="37"/>
    </row>
    <row r="409">
      <c r="B409" s="37"/>
    </row>
    <row r="410">
      <c r="B410" s="37"/>
    </row>
    <row r="411">
      <c r="B411" s="37"/>
    </row>
    <row r="412">
      <c r="B412" s="37"/>
    </row>
    <row r="413">
      <c r="B413" s="37"/>
    </row>
    <row r="414">
      <c r="B414" s="37"/>
    </row>
    <row r="415">
      <c r="B415" s="37"/>
    </row>
    <row r="416">
      <c r="B416" s="37"/>
    </row>
    <row r="417">
      <c r="B417" s="37"/>
    </row>
    <row r="418">
      <c r="B418" s="37"/>
    </row>
    <row r="419">
      <c r="B419" s="37"/>
    </row>
    <row r="420">
      <c r="B420" s="37"/>
    </row>
    <row r="421">
      <c r="B421" s="37"/>
    </row>
    <row r="422">
      <c r="B422" s="37"/>
    </row>
    <row r="423">
      <c r="B423" s="37"/>
    </row>
    <row r="424">
      <c r="B424" s="37"/>
    </row>
    <row r="425">
      <c r="B425" s="37"/>
    </row>
    <row r="426">
      <c r="B426" s="37"/>
    </row>
    <row r="427">
      <c r="B427" s="37"/>
    </row>
    <row r="428">
      <c r="B428" s="37"/>
    </row>
    <row r="429">
      <c r="B429" s="37"/>
    </row>
    <row r="430">
      <c r="B430" s="37"/>
    </row>
    <row r="431">
      <c r="B431" s="37"/>
    </row>
    <row r="432">
      <c r="B432" s="37"/>
    </row>
    <row r="433">
      <c r="B433" s="37"/>
    </row>
    <row r="434">
      <c r="B434" s="37"/>
    </row>
    <row r="435">
      <c r="B435" s="37"/>
    </row>
    <row r="436">
      <c r="B436" s="37"/>
    </row>
    <row r="437">
      <c r="B437" s="37"/>
    </row>
    <row r="438">
      <c r="B438" s="37"/>
    </row>
    <row r="439">
      <c r="B439" s="37"/>
    </row>
    <row r="440">
      <c r="B440" s="37"/>
    </row>
    <row r="441">
      <c r="B441" s="37"/>
    </row>
    <row r="442">
      <c r="B442" s="37"/>
    </row>
    <row r="443">
      <c r="B443" s="37"/>
    </row>
    <row r="444">
      <c r="B444" s="37"/>
    </row>
    <row r="445">
      <c r="B445" s="37"/>
    </row>
    <row r="446">
      <c r="B446" s="37"/>
    </row>
    <row r="447">
      <c r="B447" s="37"/>
    </row>
    <row r="448">
      <c r="B448" s="37"/>
    </row>
    <row r="449">
      <c r="B449" s="37"/>
    </row>
    <row r="450">
      <c r="B450" s="37"/>
    </row>
    <row r="451">
      <c r="B451" s="37"/>
    </row>
    <row r="452">
      <c r="B452" s="37"/>
    </row>
    <row r="453">
      <c r="B453" s="37"/>
    </row>
    <row r="454">
      <c r="B454" s="37"/>
    </row>
    <row r="455">
      <c r="B455" s="37"/>
    </row>
    <row r="456">
      <c r="B456" s="37"/>
    </row>
    <row r="457">
      <c r="B457" s="37"/>
    </row>
    <row r="458">
      <c r="B458" s="37"/>
    </row>
    <row r="459">
      <c r="B459" s="37"/>
    </row>
    <row r="460">
      <c r="B460" s="37"/>
    </row>
    <row r="461">
      <c r="B461" s="37"/>
    </row>
    <row r="462">
      <c r="B462" s="37"/>
    </row>
    <row r="463">
      <c r="B463" s="37"/>
    </row>
    <row r="464">
      <c r="B464" s="37"/>
    </row>
    <row r="465">
      <c r="B465" s="37"/>
    </row>
    <row r="466">
      <c r="B466" s="37"/>
    </row>
    <row r="467">
      <c r="B467" s="37"/>
    </row>
    <row r="468">
      <c r="B468" s="37"/>
    </row>
    <row r="469">
      <c r="B469" s="37"/>
    </row>
    <row r="470">
      <c r="B470" s="37"/>
    </row>
    <row r="471">
      <c r="B471" s="37"/>
    </row>
    <row r="472">
      <c r="B472" s="37"/>
    </row>
    <row r="473">
      <c r="B473" s="37"/>
    </row>
    <row r="474">
      <c r="B474" s="37"/>
    </row>
    <row r="475">
      <c r="B475" s="37"/>
    </row>
    <row r="476">
      <c r="B476" s="37"/>
    </row>
    <row r="477">
      <c r="B477" s="37"/>
    </row>
    <row r="478">
      <c r="B478" s="37"/>
    </row>
    <row r="479">
      <c r="B479" s="37"/>
    </row>
    <row r="480">
      <c r="B480" s="37"/>
    </row>
    <row r="481">
      <c r="B481" s="37"/>
    </row>
    <row r="482">
      <c r="B482" s="37"/>
    </row>
    <row r="483">
      <c r="B483" s="37"/>
    </row>
    <row r="484">
      <c r="B484" s="37"/>
    </row>
    <row r="485">
      <c r="B485" s="37"/>
    </row>
    <row r="486">
      <c r="B486" s="37"/>
    </row>
    <row r="487">
      <c r="B487" s="37"/>
    </row>
    <row r="488">
      <c r="B488" s="37"/>
    </row>
    <row r="489">
      <c r="B489" s="37"/>
    </row>
    <row r="490">
      <c r="B490" s="37"/>
    </row>
    <row r="491">
      <c r="B491" s="37"/>
    </row>
    <row r="492">
      <c r="B492" s="37"/>
    </row>
    <row r="493">
      <c r="B493" s="37"/>
    </row>
    <row r="494">
      <c r="B494" s="37"/>
    </row>
    <row r="495">
      <c r="B495" s="37"/>
    </row>
    <row r="496">
      <c r="B496" s="37"/>
    </row>
    <row r="497">
      <c r="B497" s="37"/>
    </row>
    <row r="498">
      <c r="B498" s="37"/>
    </row>
    <row r="499">
      <c r="B499" s="37"/>
    </row>
    <row r="500">
      <c r="B500" s="37"/>
    </row>
    <row r="501">
      <c r="B501" s="37"/>
    </row>
    <row r="502">
      <c r="B502" s="37"/>
    </row>
    <row r="503">
      <c r="B503" s="37"/>
    </row>
    <row r="504">
      <c r="B504" s="37"/>
    </row>
    <row r="505">
      <c r="B505" s="37"/>
    </row>
    <row r="506">
      <c r="B506" s="37"/>
    </row>
    <row r="507">
      <c r="B507" s="37"/>
    </row>
    <row r="508">
      <c r="B508" s="37"/>
    </row>
    <row r="509">
      <c r="B509" s="37"/>
    </row>
    <row r="510">
      <c r="B510" s="37"/>
    </row>
    <row r="511">
      <c r="B511" s="37"/>
    </row>
    <row r="512">
      <c r="B512" s="37"/>
    </row>
    <row r="513">
      <c r="B513" s="37"/>
    </row>
    <row r="514">
      <c r="B514" s="37"/>
    </row>
    <row r="515">
      <c r="B515" s="37"/>
    </row>
    <row r="516">
      <c r="B516" s="37"/>
    </row>
    <row r="517">
      <c r="B517" s="37"/>
    </row>
    <row r="518">
      <c r="B518" s="37"/>
    </row>
    <row r="519">
      <c r="B519" s="37"/>
    </row>
    <row r="520">
      <c r="B520" s="37"/>
    </row>
    <row r="521">
      <c r="B521" s="37"/>
    </row>
    <row r="522">
      <c r="B522" s="37"/>
    </row>
    <row r="523">
      <c r="B523" s="37"/>
    </row>
    <row r="524">
      <c r="B524" s="37"/>
    </row>
    <row r="525">
      <c r="B525" s="37"/>
    </row>
    <row r="526">
      <c r="B526" s="37"/>
    </row>
    <row r="527">
      <c r="B527" s="37"/>
    </row>
    <row r="528">
      <c r="B528" s="37"/>
    </row>
    <row r="529">
      <c r="B529" s="37"/>
    </row>
    <row r="530">
      <c r="B530" s="37"/>
    </row>
    <row r="531">
      <c r="B531" s="37"/>
    </row>
    <row r="532">
      <c r="B532" s="37"/>
    </row>
    <row r="533">
      <c r="B533" s="37"/>
    </row>
    <row r="534">
      <c r="B534" s="37"/>
    </row>
    <row r="535">
      <c r="B535" s="37"/>
    </row>
    <row r="536">
      <c r="B536" s="37"/>
    </row>
    <row r="537">
      <c r="B537" s="37"/>
    </row>
    <row r="538">
      <c r="B538" s="37"/>
    </row>
    <row r="539">
      <c r="B539" s="37"/>
    </row>
    <row r="540">
      <c r="B540" s="37"/>
    </row>
    <row r="541">
      <c r="B541" s="37"/>
    </row>
    <row r="542">
      <c r="B542" s="37"/>
    </row>
    <row r="543">
      <c r="B543" s="37"/>
    </row>
    <row r="544">
      <c r="B544" s="37"/>
    </row>
    <row r="545">
      <c r="B545" s="37"/>
    </row>
    <row r="546">
      <c r="B546" s="37"/>
    </row>
    <row r="547">
      <c r="B547" s="37"/>
    </row>
    <row r="548">
      <c r="B548" s="37"/>
    </row>
    <row r="549">
      <c r="B549" s="37"/>
    </row>
    <row r="550">
      <c r="B550" s="37"/>
    </row>
    <row r="551">
      <c r="B551" s="37"/>
    </row>
    <row r="552">
      <c r="B552" s="37"/>
    </row>
    <row r="553">
      <c r="B553" s="37"/>
    </row>
    <row r="554">
      <c r="B554" s="37"/>
    </row>
    <row r="555">
      <c r="B555" s="37"/>
    </row>
    <row r="556">
      <c r="B556" s="37"/>
    </row>
    <row r="557">
      <c r="B557" s="37"/>
    </row>
    <row r="558">
      <c r="B558" s="37"/>
    </row>
    <row r="559">
      <c r="B559" s="37"/>
    </row>
    <row r="560">
      <c r="B560" s="37"/>
    </row>
    <row r="561">
      <c r="B561" s="37"/>
    </row>
    <row r="562">
      <c r="B562" s="37"/>
    </row>
    <row r="563">
      <c r="B563" s="37"/>
    </row>
    <row r="564">
      <c r="B564" s="37"/>
    </row>
    <row r="565">
      <c r="B565" s="37"/>
    </row>
    <row r="566">
      <c r="B566" s="37"/>
    </row>
    <row r="567">
      <c r="B567" s="37"/>
    </row>
    <row r="568">
      <c r="B568" s="37"/>
    </row>
    <row r="569">
      <c r="B569" s="37"/>
    </row>
    <row r="570">
      <c r="B570" s="37"/>
    </row>
    <row r="571">
      <c r="B571" s="37"/>
    </row>
    <row r="572">
      <c r="B572" s="37"/>
    </row>
    <row r="573">
      <c r="B573" s="37"/>
    </row>
    <row r="574">
      <c r="B574" s="37"/>
    </row>
    <row r="575">
      <c r="B575" s="37"/>
    </row>
    <row r="576">
      <c r="B576" s="37"/>
    </row>
    <row r="577">
      <c r="B577" s="37"/>
    </row>
    <row r="578">
      <c r="B578" s="37"/>
    </row>
    <row r="579">
      <c r="B579" s="37"/>
    </row>
    <row r="580">
      <c r="B580" s="37"/>
    </row>
    <row r="581">
      <c r="B581" s="37"/>
    </row>
    <row r="582">
      <c r="B582" s="37"/>
    </row>
    <row r="583">
      <c r="B583" s="37"/>
    </row>
    <row r="584">
      <c r="B584" s="37"/>
    </row>
    <row r="585">
      <c r="B585" s="37"/>
    </row>
    <row r="586">
      <c r="B586" s="37"/>
    </row>
    <row r="587">
      <c r="B587" s="37"/>
    </row>
    <row r="588">
      <c r="B588" s="37"/>
    </row>
    <row r="589">
      <c r="B589" s="37"/>
    </row>
    <row r="590">
      <c r="B590" s="37"/>
    </row>
    <row r="591">
      <c r="B591" s="37"/>
    </row>
    <row r="592">
      <c r="B592" s="37"/>
    </row>
    <row r="593">
      <c r="B593" s="37"/>
    </row>
    <row r="594">
      <c r="B594" s="37"/>
    </row>
    <row r="595">
      <c r="B595" s="37"/>
    </row>
    <row r="596">
      <c r="B596" s="37"/>
    </row>
    <row r="597">
      <c r="B597" s="37"/>
    </row>
    <row r="598">
      <c r="B598" s="37"/>
    </row>
    <row r="599">
      <c r="B599" s="37"/>
    </row>
    <row r="600">
      <c r="B600" s="37"/>
    </row>
    <row r="601">
      <c r="B601" s="37"/>
    </row>
    <row r="602">
      <c r="B602" s="37"/>
    </row>
    <row r="603">
      <c r="B603" s="37"/>
    </row>
    <row r="604">
      <c r="B604" s="37"/>
    </row>
    <row r="605">
      <c r="B605" s="37"/>
    </row>
    <row r="606">
      <c r="B606" s="37"/>
    </row>
    <row r="607">
      <c r="B607" s="37"/>
    </row>
    <row r="608">
      <c r="B608" s="37"/>
    </row>
    <row r="609">
      <c r="B609" s="37"/>
    </row>
    <row r="610">
      <c r="B610" s="37"/>
    </row>
    <row r="611">
      <c r="B611" s="37"/>
    </row>
    <row r="612">
      <c r="B612" s="37"/>
    </row>
    <row r="613">
      <c r="B613" s="37"/>
    </row>
    <row r="614">
      <c r="B614" s="37"/>
    </row>
    <row r="615">
      <c r="B615" s="37"/>
    </row>
    <row r="616">
      <c r="B616" s="37"/>
    </row>
    <row r="617">
      <c r="B617" s="37"/>
    </row>
    <row r="618">
      <c r="B618" s="37"/>
    </row>
    <row r="619">
      <c r="B619" s="37"/>
    </row>
    <row r="620">
      <c r="B620" s="37"/>
    </row>
    <row r="621">
      <c r="B621" s="37"/>
    </row>
    <row r="622">
      <c r="B622" s="37"/>
    </row>
    <row r="623">
      <c r="B623" s="37"/>
    </row>
    <row r="624">
      <c r="B624" s="37"/>
    </row>
    <row r="625">
      <c r="B625" s="37"/>
    </row>
    <row r="626">
      <c r="B626" s="37"/>
    </row>
    <row r="627">
      <c r="B627" s="37"/>
    </row>
    <row r="628">
      <c r="B628" s="37"/>
    </row>
    <row r="629">
      <c r="B629" s="37"/>
    </row>
    <row r="630">
      <c r="B630" s="37"/>
    </row>
    <row r="631">
      <c r="B631" s="37"/>
    </row>
    <row r="632">
      <c r="B632" s="37"/>
    </row>
    <row r="633">
      <c r="B633" s="37"/>
    </row>
    <row r="634">
      <c r="B634" s="37"/>
    </row>
    <row r="635">
      <c r="B635" s="37"/>
    </row>
    <row r="636">
      <c r="B636" s="37"/>
    </row>
    <row r="637">
      <c r="B637" s="37"/>
    </row>
    <row r="638">
      <c r="B638" s="37"/>
    </row>
    <row r="639">
      <c r="B639" s="37"/>
    </row>
    <row r="640">
      <c r="B640" s="37"/>
    </row>
    <row r="641">
      <c r="B641" s="37"/>
    </row>
    <row r="642">
      <c r="B642" s="37"/>
    </row>
    <row r="643">
      <c r="B643" s="37"/>
    </row>
    <row r="644">
      <c r="B644" s="37"/>
    </row>
    <row r="645">
      <c r="B645" s="37"/>
    </row>
    <row r="646">
      <c r="B646" s="37"/>
    </row>
    <row r="647">
      <c r="B647" s="37"/>
    </row>
    <row r="648">
      <c r="B648" s="37"/>
    </row>
    <row r="649">
      <c r="B649" s="37"/>
    </row>
    <row r="650">
      <c r="B650" s="37"/>
    </row>
    <row r="651">
      <c r="B651" s="37"/>
    </row>
    <row r="652">
      <c r="B652" s="37"/>
    </row>
    <row r="653">
      <c r="B653" s="37"/>
    </row>
    <row r="654">
      <c r="B654" s="37"/>
    </row>
    <row r="655">
      <c r="B655" s="37"/>
    </row>
    <row r="656">
      <c r="B656" s="37"/>
    </row>
    <row r="657">
      <c r="B657" s="37"/>
    </row>
    <row r="658">
      <c r="B658" s="37"/>
    </row>
    <row r="659">
      <c r="B659" s="37"/>
    </row>
    <row r="660">
      <c r="B660" s="37"/>
    </row>
    <row r="661">
      <c r="B661" s="37"/>
    </row>
    <row r="662">
      <c r="B662" s="37"/>
    </row>
    <row r="663">
      <c r="B663" s="37"/>
    </row>
    <row r="664">
      <c r="B664" s="37"/>
    </row>
    <row r="665">
      <c r="B665" s="37"/>
    </row>
    <row r="666">
      <c r="B666" s="37"/>
    </row>
    <row r="667">
      <c r="B667" s="37"/>
    </row>
    <row r="668">
      <c r="B668" s="37"/>
    </row>
    <row r="669">
      <c r="B669" s="37"/>
    </row>
    <row r="670">
      <c r="B670" s="37"/>
    </row>
    <row r="671">
      <c r="B671" s="37"/>
    </row>
    <row r="672">
      <c r="B672" s="37"/>
    </row>
    <row r="673">
      <c r="B673" s="37"/>
    </row>
    <row r="674">
      <c r="B674" s="37"/>
    </row>
    <row r="675">
      <c r="B675" s="37"/>
    </row>
    <row r="676">
      <c r="B676" s="37"/>
    </row>
    <row r="677">
      <c r="B677" s="37"/>
    </row>
    <row r="678">
      <c r="B678" s="37"/>
    </row>
    <row r="679">
      <c r="B679" s="37"/>
    </row>
    <row r="680">
      <c r="B680" s="37"/>
    </row>
    <row r="681">
      <c r="B681" s="37"/>
    </row>
    <row r="682">
      <c r="B682" s="37"/>
    </row>
    <row r="683">
      <c r="B683" s="37"/>
    </row>
    <row r="684">
      <c r="B684" s="37"/>
    </row>
    <row r="685">
      <c r="B685" s="37"/>
    </row>
    <row r="686">
      <c r="B686" s="37"/>
    </row>
    <row r="687">
      <c r="B687" s="37"/>
    </row>
    <row r="688">
      <c r="B688" s="37"/>
    </row>
    <row r="689">
      <c r="B689" s="37"/>
    </row>
    <row r="690">
      <c r="B690" s="37"/>
    </row>
    <row r="691">
      <c r="B691" s="37"/>
    </row>
    <row r="692">
      <c r="B692" s="37"/>
    </row>
    <row r="693">
      <c r="B693" s="37"/>
    </row>
    <row r="694">
      <c r="B694" s="37"/>
    </row>
    <row r="695">
      <c r="B695" s="37"/>
    </row>
    <row r="696">
      <c r="B696" s="37"/>
    </row>
    <row r="697">
      <c r="B697" s="37"/>
    </row>
    <row r="698">
      <c r="B698" s="37"/>
    </row>
    <row r="699">
      <c r="B699" s="37"/>
    </row>
    <row r="700">
      <c r="B700" s="37"/>
    </row>
    <row r="701">
      <c r="B701" s="37"/>
    </row>
    <row r="702">
      <c r="B702" s="37"/>
    </row>
    <row r="703">
      <c r="B703" s="37"/>
    </row>
    <row r="704">
      <c r="B704" s="37"/>
    </row>
    <row r="705">
      <c r="B705" s="37"/>
    </row>
    <row r="706">
      <c r="B706" s="37"/>
    </row>
    <row r="707">
      <c r="B707" s="37"/>
    </row>
    <row r="708">
      <c r="B708" s="37"/>
    </row>
    <row r="709">
      <c r="B709" s="37"/>
    </row>
    <row r="710">
      <c r="B710" s="37"/>
    </row>
    <row r="711">
      <c r="B711" s="37"/>
    </row>
    <row r="712">
      <c r="B712" s="37"/>
    </row>
    <row r="713">
      <c r="B713" s="37"/>
    </row>
    <row r="714">
      <c r="B714" s="37"/>
    </row>
    <row r="715">
      <c r="B715" s="37"/>
    </row>
    <row r="716">
      <c r="B716" s="37"/>
    </row>
    <row r="717">
      <c r="B717" s="37"/>
    </row>
    <row r="718">
      <c r="B718" s="37"/>
    </row>
    <row r="719">
      <c r="B719" s="37"/>
    </row>
    <row r="720">
      <c r="B720" s="37"/>
    </row>
    <row r="721">
      <c r="B721" s="37"/>
    </row>
    <row r="722">
      <c r="B722" s="37"/>
    </row>
    <row r="723">
      <c r="B723" s="37"/>
    </row>
    <row r="724">
      <c r="B724" s="37"/>
    </row>
    <row r="725">
      <c r="B725" s="37"/>
    </row>
    <row r="726">
      <c r="B726" s="37"/>
    </row>
    <row r="727">
      <c r="B727" s="37"/>
    </row>
    <row r="728">
      <c r="B728" s="37"/>
    </row>
    <row r="729">
      <c r="B729" s="37"/>
    </row>
    <row r="730">
      <c r="B730" s="37"/>
    </row>
    <row r="731">
      <c r="B731" s="37"/>
    </row>
    <row r="732">
      <c r="B732" s="37"/>
    </row>
    <row r="733">
      <c r="B733" s="37"/>
    </row>
    <row r="734">
      <c r="B734" s="37"/>
    </row>
    <row r="735">
      <c r="B735" s="37"/>
    </row>
    <row r="736">
      <c r="B736" s="37"/>
    </row>
    <row r="737">
      <c r="B737" s="37"/>
    </row>
    <row r="738">
      <c r="B738" s="37"/>
    </row>
    <row r="739">
      <c r="B739" s="37"/>
    </row>
    <row r="740">
      <c r="B740" s="37"/>
    </row>
    <row r="741">
      <c r="B741" s="37"/>
    </row>
    <row r="742">
      <c r="B742" s="37"/>
    </row>
    <row r="743">
      <c r="B743" s="37"/>
    </row>
    <row r="744">
      <c r="B744" s="37"/>
    </row>
    <row r="745">
      <c r="B745" s="37"/>
    </row>
    <row r="746">
      <c r="B746" s="37"/>
    </row>
    <row r="747">
      <c r="B747" s="37"/>
    </row>
    <row r="748">
      <c r="B748" s="37"/>
    </row>
    <row r="749">
      <c r="B749" s="37"/>
    </row>
    <row r="750">
      <c r="B750" s="37"/>
    </row>
    <row r="751">
      <c r="B751" s="37"/>
    </row>
    <row r="752">
      <c r="B752" s="37"/>
    </row>
    <row r="753">
      <c r="B753" s="37"/>
    </row>
    <row r="754">
      <c r="B754" s="37"/>
    </row>
    <row r="755">
      <c r="B755" s="37"/>
    </row>
    <row r="756">
      <c r="B756" s="37"/>
    </row>
    <row r="757">
      <c r="B757" s="37"/>
    </row>
    <row r="758">
      <c r="B758" s="37"/>
    </row>
    <row r="759">
      <c r="B759" s="37"/>
    </row>
    <row r="760">
      <c r="B760" s="37"/>
    </row>
    <row r="761">
      <c r="B761" s="37"/>
    </row>
    <row r="762">
      <c r="B762" s="37"/>
    </row>
    <row r="763">
      <c r="B763" s="37"/>
    </row>
    <row r="764">
      <c r="B764" s="37"/>
    </row>
    <row r="765">
      <c r="B765" s="37"/>
    </row>
    <row r="766">
      <c r="B766" s="37"/>
    </row>
    <row r="767">
      <c r="B767" s="37"/>
    </row>
    <row r="768">
      <c r="B768" s="37"/>
    </row>
    <row r="769">
      <c r="B769" s="37"/>
    </row>
    <row r="770">
      <c r="B770" s="37"/>
    </row>
    <row r="771">
      <c r="B771" s="37"/>
    </row>
    <row r="772">
      <c r="B772" s="37"/>
    </row>
    <row r="773">
      <c r="B773" s="37"/>
    </row>
    <row r="774">
      <c r="B774" s="37"/>
    </row>
    <row r="775">
      <c r="B775" s="37"/>
    </row>
    <row r="776">
      <c r="B776" s="37"/>
    </row>
    <row r="777">
      <c r="B777" s="37"/>
    </row>
    <row r="778">
      <c r="B778" s="37"/>
    </row>
    <row r="779">
      <c r="B779" s="37"/>
    </row>
    <row r="780">
      <c r="B780" s="37"/>
    </row>
    <row r="781">
      <c r="B781" s="37"/>
    </row>
    <row r="782">
      <c r="B782" s="37"/>
    </row>
    <row r="783">
      <c r="B783" s="37"/>
    </row>
    <row r="784">
      <c r="B784" s="37"/>
    </row>
    <row r="785">
      <c r="B785" s="37"/>
    </row>
    <row r="786">
      <c r="B786" s="37"/>
    </row>
    <row r="787">
      <c r="B787" s="37"/>
    </row>
    <row r="788">
      <c r="B788" s="37"/>
    </row>
    <row r="789">
      <c r="B789" s="37"/>
    </row>
    <row r="790">
      <c r="B790" s="37"/>
    </row>
    <row r="791">
      <c r="B791" s="37"/>
    </row>
    <row r="792">
      <c r="B792" s="37"/>
    </row>
    <row r="793">
      <c r="B793" s="37"/>
    </row>
    <row r="794">
      <c r="B794" s="37"/>
    </row>
    <row r="795">
      <c r="B795" s="37"/>
    </row>
    <row r="796">
      <c r="B796" s="37"/>
    </row>
    <row r="797">
      <c r="B797" s="37"/>
    </row>
    <row r="798">
      <c r="B798" s="37"/>
    </row>
    <row r="799">
      <c r="B799" s="37"/>
    </row>
    <row r="800">
      <c r="B800" s="37"/>
    </row>
    <row r="801">
      <c r="B801" s="37"/>
    </row>
    <row r="802">
      <c r="B802" s="37"/>
    </row>
    <row r="803">
      <c r="B803" s="37"/>
    </row>
    <row r="804">
      <c r="B804" s="37"/>
    </row>
    <row r="805">
      <c r="B805" s="37"/>
    </row>
    <row r="806">
      <c r="B806" s="37"/>
    </row>
    <row r="807">
      <c r="B807" s="37"/>
    </row>
    <row r="808">
      <c r="B808" s="37"/>
    </row>
    <row r="809">
      <c r="B809" s="37"/>
    </row>
    <row r="810">
      <c r="B810" s="37"/>
    </row>
    <row r="811">
      <c r="B811" s="37"/>
    </row>
    <row r="812">
      <c r="B812" s="37"/>
    </row>
    <row r="813">
      <c r="B813" s="37"/>
    </row>
    <row r="814">
      <c r="B814" s="37"/>
    </row>
    <row r="815">
      <c r="B815" s="37"/>
    </row>
    <row r="816">
      <c r="B816" s="37"/>
    </row>
    <row r="817">
      <c r="B817" s="37"/>
    </row>
    <row r="818">
      <c r="B818" s="37"/>
    </row>
    <row r="819">
      <c r="B819" s="37"/>
    </row>
    <row r="820">
      <c r="B820" s="37"/>
    </row>
    <row r="821">
      <c r="B821" s="37"/>
    </row>
    <row r="822">
      <c r="B822" s="37"/>
    </row>
    <row r="823">
      <c r="B823" s="37"/>
    </row>
    <row r="824">
      <c r="B824" s="37"/>
    </row>
    <row r="825">
      <c r="B825" s="37"/>
    </row>
    <row r="826">
      <c r="B826" s="37"/>
    </row>
    <row r="827">
      <c r="B827" s="37"/>
    </row>
    <row r="828">
      <c r="B828" s="37"/>
    </row>
    <row r="829">
      <c r="B829" s="37"/>
    </row>
    <row r="830">
      <c r="B830" s="37"/>
    </row>
    <row r="831">
      <c r="B831" s="37"/>
    </row>
    <row r="832">
      <c r="B832" s="37"/>
    </row>
    <row r="833">
      <c r="B833" s="37"/>
    </row>
    <row r="834">
      <c r="B834" s="37"/>
    </row>
    <row r="835">
      <c r="B835" s="37"/>
    </row>
    <row r="836">
      <c r="B836" s="37"/>
    </row>
    <row r="837">
      <c r="B837" s="37"/>
    </row>
    <row r="838">
      <c r="B838" s="37"/>
    </row>
    <row r="839">
      <c r="B839" s="37"/>
    </row>
    <row r="840">
      <c r="B840" s="37"/>
    </row>
    <row r="841">
      <c r="B841" s="37"/>
    </row>
    <row r="842">
      <c r="B842" s="37"/>
    </row>
    <row r="843">
      <c r="B843" s="37"/>
    </row>
    <row r="844">
      <c r="B844" s="37"/>
    </row>
    <row r="845">
      <c r="B845" s="37"/>
    </row>
    <row r="846">
      <c r="B846" s="37"/>
    </row>
    <row r="847">
      <c r="B847" s="37"/>
    </row>
    <row r="848">
      <c r="B848" s="37"/>
    </row>
    <row r="849">
      <c r="B849" s="37"/>
    </row>
    <row r="850">
      <c r="B850" s="37"/>
    </row>
    <row r="851">
      <c r="B851" s="37"/>
    </row>
    <row r="852">
      <c r="B852" s="37"/>
    </row>
    <row r="853">
      <c r="B853" s="37"/>
    </row>
    <row r="854">
      <c r="B854" s="37"/>
    </row>
    <row r="855">
      <c r="B855" s="37"/>
    </row>
    <row r="856">
      <c r="B856" s="37"/>
    </row>
    <row r="857">
      <c r="B857" s="37"/>
    </row>
    <row r="858">
      <c r="B858" s="37"/>
    </row>
    <row r="859">
      <c r="B859" s="37"/>
    </row>
    <row r="860">
      <c r="B860" s="37"/>
    </row>
    <row r="861">
      <c r="B861" s="37"/>
    </row>
    <row r="862">
      <c r="B862" s="37"/>
    </row>
    <row r="863">
      <c r="B863" s="37"/>
    </row>
    <row r="864">
      <c r="B864" s="37"/>
    </row>
    <row r="865">
      <c r="B865" s="37"/>
    </row>
    <row r="866">
      <c r="B866" s="37"/>
    </row>
    <row r="867">
      <c r="B867" s="37"/>
    </row>
    <row r="868">
      <c r="B868" s="37"/>
    </row>
    <row r="869">
      <c r="B869" s="37"/>
    </row>
    <row r="870">
      <c r="B870" s="37"/>
    </row>
    <row r="871">
      <c r="B871" s="37"/>
    </row>
    <row r="872">
      <c r="B872" s="37"/>
    </row>
    <row r="873">
      <c r="B873" s="37"/>
    </row>
    <row r="874">
      <c r="B874" s="37"/>
    </row>
    <row r="875">
      <c r="B875" s="37"/>
    </row>
    <row r="876">
      <c r="B876" s="37"/>
    </row>
    <row r="877">
      <c r="B877" s="37"/>
    </row>
    <row r="878">
      <c r="B878" s="37"/>
    </row>
    <row r="879">
      <c r="B879" s="37"/>
    </row>
    <row r="880">
      <c r="B880" s="37"/>
    </row>
    <row r="881">
      <c r="B881" s="37"/>
    </row>
    <row r="882">
      <c r="B882" s="37"/>
    </row>
    <row r="883">
      <c r="B883" s="37"/>
    </row>
    <row r="884">
      <c r="B884" s="37"/>
    </row>
    <row r="885">
      <c r="B885" s="37"/>
    </row>
    <row r="886">
      <c r="B886" s="37"/>
    </row>
    <row r="887">
      <c r="B887" s="37"/>
    </row>
    <row r="888">
      <c r="B888" s="37"/>
    </row>
    <row r="889">
      <c r="B889" s="37"/>
    </row>
    <row r="890">
      <c r="B890" s="37"/>
    </row>
    <row r="891">
      <c r="B891" s="37"/>
    </row>
    <row r="892">
      <c r="B892" s="37"/>
    </row>
    <row r="893">
      <c r="B893" s="37"/>
    </row>
    <row r="894">
      <c r="B894" s="37"/>
    </row>
    <row r="895">
      <c r="B895" s="37"/>
    </row>
    <row r="896">
      <c r="B896" s="37"/>
    </row>
    <row r="897">
      <c r="B897" s="37"/>
    </row>
    <row r="898">
      <c r="B898" s="37"/>
    </row>
    <row r="899">
      <c r="B899" s="37"/>
    </row>
    <row r="900">
      <c r="B900" s="37"/>
    </row>
    <row r="901">
      <c r="B901" s="37"/>
    </row>
    <row r="902">
      <c r="B902" s="37"/>
    </row>
    <row r="903">
      <c r="B903" s="37"/>
    </row>
    <row r="904">
      <c r="B904" s="37"/>
    </row>
    <row r="905">
      <c r="B905" s="37"/>
    </row>
    <row r="906">
      <c r="B906" s="37"/>
    </row>
    <row r="907">
      <c r="B907" s="37"/>
    </row>
    <row r="908">
      <c r="B908" s="37"/>
    </row>
    <row r="909">
      <c r="B909" s="37"/>
    </row>
    <row r="910">
      <c r="B910" s="37"/>
    </row>
    <row r="911">
      <c r="B911" s="37"/>
    </row>
    <row r="912">
      <c r="B912" s="37"/>
    </row>
    <row r="913">
      <c r="B913" s="37"/>
    </row>
    <row r="914">
      <c r="B914" s="37"/>
    </row>
    <row r="915">
      <c r="B915" s="37"/>
    </row>
    <row r="916">
      <c r="B916" s="37"/>
    </row>
    <row r="917">
      <c r="B917" s="37"/>
    </row>
    <row r="918">
      <c r="B918" s="37"/>
    </row>
    <row r="919">
      <c r="B919" s="37"/>
    </row>
    <row r="920">
      <c r="B920" s="37"/>
    </row>
    <row r="921">
      <c r="B921" s="37"/>
    </row>
    <row r="922">
      <c r="B922" s="37"/>
    </row>
    <row r="923">
      <c r="B923" s="37"/>
    </row>
    <row r="924">
      <c r="B924" s="37"/>
    </row>
    <row r="925">
      <c r="B925" s="37"/>
    </row>
    <row r="926">
      <c r="B926" s="37"/>
    </row>
    <row r="927">
      <c r="B927" s="37"/>
    </row>
    <row r="928">
      <c r="B928" s="37"/>
    </row>
    <row r="929">
      <c r="B929" s="37"/>
    </row>
    <row r="930">
      <c r="B930" s="37"/>
    </row>
    <row r="931">
      <c r="B931" s="37"/>
    </row>
    <row r="932">
      <c r="B932" s="37"/>
    </row>
    <row r="933">
      <c r="B933" s="37"/>
    </row>
    <row r="934">
      <c r="B934" s="37"/>
    </row>
    <row r="935">
      <c r="B935" s="37"/>
    </row>
    <row r="936">
      <c r="B936" s="37"/>
    </row>
    <row r="937">
      <c r="B937" s="37"/>
    </row>
    <row r="938">
      <c r="B938" s="37"/>
    </row>
    <row r="939">
      <c r="B939" s="37"/>
    </row>
    <row r="940">
      <c r="B940" s="37"/>
    </row>
    <row r="941">
      <c r="B941" s="37"/>
    </row>
    <row r="942">
      <c r="B942" s="37"/>
    </row>
    <row r="943">
      <c r="B943" s="37"/>
    </row>
    <row r="944">
      <c r="B944" s="37"/>
    </row>
    <row r="945">
      <c r="B945" s="37"/>
    </row>
    <row r="946">
      <c r="B946" s="37"/>
    </row>
    <row r="947">
      <c r="B947" s="37"/>
    </row>
    <row r="948">
      <c r="B948" s="37"/>
    </row>
    <row r="949">
      <c r="B949" s="37"/>
    </row>
    <row r="950">
      <c r="B950" s="37"/>
    </row>
    <row r="951">
      <c r="B951" s="37"/>
    </row>
    <row r="952">
      <c r="B952" s="37"/>
    </row>
    <row r="953">
      <c r="B953" s="37"/>
    </row>
    <row r="954">
      <c r="B954" s="37"/>
    </row>
    <row r="955">
      <c r="B955" s="37"/>
    </row>
    <row r="956">
      <c r="B956" s="37"/>
    </row>
    <row r="957">
      <c r="B957" s="37"/>
    </row>
    <row r="958">
      <c r="B958" s="37"/>
    </row>
    <row r="959">
      <c r="B959" s="37"/>
    </row>
    <row r="960">
      <c r="B960" s="37"/>
    </row>
    <row r="961">
      <c r="B961" s="37"/>
    </row>
    <row r="962">
      <c r="B962" s="37"/>
    </row>
    <row r="963">
      <c r="B963" s="37"/>
    </row>
    <row r="964">
      <c r="B964" s="37"/>
    </row>
    <row r="965">
      <c r="B965" s="37"/>
    </row>
    <row r="966">
      <c r="B966" s="37"/>
    </row>
    <row r="967">
      <c r="B967" s="37"/>
    </row>
    <row r="968">
      <c r="B968" s="37"/>
    </row>
    <row r="969">
      <c r="B969" s="37"/>
    </row>
    <row r="970">
      <c r="B970" s="37"/>
    </row>
    <row r="971">
      <c r="B971" s="37"/>
    </row>
    <row r="972">
      <c r="B972" s="37"/>
    </row>
    <row r="973">
      <c r="B973" s="37"/>
    </row>
    <row r="974">
      <c r="B974" s="37"/>
    </row>
    <row r="975">
      <c r="B975" s="37"/>
    </row>
    <row r="976">
      <c r="B976" s="37"/>
    </row>
    <row r="977">
      <c r="B977" s="37"/>
    </row>
    <row r="978">
      <c r="B978" s="37"/>
    </row>
    <row r="979">
      <c r="B979" s="37"/>
    </row>
    <row r="980">
      <c r="B980" s="37"/>
    </row>
    <row r="981">
      <c r="B981" s="37"/>
    </row>
    <row r="982">
      <c r="B982" s="37"/>
    </row>
    <row r="983">
      <c r="B983" s="37"/>
    </row>
    <row r="984">
      <c r="B984" s="37"/>
    </row>
    <row r="985">
      <c r="B985" s="37"/>
    </row>
    <row r="986">
      <c r="B986" s="37"/>
    </row>
    <row r="987">
      <c r="B987" s="37"/>
    </row>
    <row r="988">
      <c r="B988" s="37"/>
    </row>
    <row r="989">
      <c r="B989" s="37"/>
    </row>
    <row r="990">
      <c r="B990" s="37"/>
    </row>
    <row r="991">
      <c r="B991" s="37"/>
    </row>
    <row r="992">
      <c r="B992" s="37"/>
    </row>
    <row r="993">
      <c r="B993" s="37"/>
    </row>
    <row r="994">
      <c r="B994" s="37"/>
    </row>
    <row r="995">
      <c r="B995" s="37"/>
    </row>
  </sheetData>
  <mergeCells count="18">
    <mergeCell ref="B1:D1"/>
    <mergeCell ref="F1:H1"/>
    <mergeCell ref="B9:D9"/>
    <mergeCell ref="B10:D10"/>
    <mergeCell ref="F10:H10"/>
    <mergeCell ref="J12:L12"/>
    <mergeCell ref="B19:D19"/>
    <mergeCell ref="F50:H50"/>
    <mergeCell ref="F51:H51"/>
    <mergeCell ref="B60:D60"/>
    <mergeCell ref="F60:H60"/>
    <mergeCell ref="F19:H19"/>
    <mergeCell ref="J21:L21"/>
    <mergeCell ref="B29:D29"/>
    <mergeCell ref="F29:H29"/>
    <mergeCell ref="B41:D41"/>
    <mergeCell ref="F41:H41"/>
    <mergeCell ref="B51:D5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4.13"/>
    <col customWidth="1" min="6" max="6" width="20.13"/>
    <col customWidth="1" min="10" max="10" width="26.5"/>
  </cols>
  <sheetData>
    <row r="1">
      <c r="B1" s="1" t="s">
        <v>0</v>
      </c>
      <c r="C1" s="2"/>
      <c r="D1" s="3"/>
      <c r="F1" s="4"/>
      <c r="G1" s="2"/>
      <c r="H1" s="3"/>
      <c r="J1" s="10" t="s">
        <v>4</v>
      </c>
      <c r="K1" s="5"/>
      <c r="L1" s="5"/>
    </row>
    <row r="2">
      <c r="B2" s="6" t="s">
        <v>2</v>
      </c>
      <c r="C2" s="7" t="s">
        <v>3</v>
      </c>
      <c r="D2" s="8"/>
      <c r="F2" s="9" t="s">
        <v>2</v>
      </c>
      <c r="G2" s="11" t="s">
        <v>3</v>
      </c>
      <c r="H2" s="12"/>
      <c r="J2" s="20">
        <f>SUM(C8,G8,G18,C18,C28,G28,C40,G36,K4,K19,K9,C50,G50,C60,G61,G69,C69)</f>
        <v>7193.46</v>
      </c>
      <c r="K2" s="13"/>
      <c r="L2" s="14"/>
    </row>
    <row r="3">
      <c r="B3" s="15" t="s">
        <v>5</v>
      </c>
      <c r="C3" s="7">
        <f>1294.41</f>
        <v>1294.41</v>
      </c>
      <c r="D3" s="16" t="b">
        <v>1</v>
      </c>
      <c r="F3" s="17"/>
      <c r="G3" s="18"/>
      <c r="H3" s="19"/>
      <c r="J3" s="13"/>
      <c r="K3" s="13"/>
      <c r="L3" s="14"/>
    </row>
    <row r="4">
      <c r="B4" s="15" t="s">
        <v>6</v>
      </c>
      <c r="C4" s="7">
        <v>368.71</v>
      </c>
      <c r="D4" s="21" t="b">
        <v>1</v>
      </c>
      <c r="F4" s="15"/>
      <c r="G4" s="23"/>
      <c r="H4" s="16" t="b">
        <v>0</v>
      </c>
      <c r="J4" s="24"/>
      <c r="K4" s="25"/>
      <c r="L4" s="26"/>
    </row>
    <row r="5">
      <c r="B5" s="15"/>
      <c r="C5" s="7"/>
      <c r="D5" s="21" t="b">
        <v>0</v>
      </c>
      <c r="F5" s="15"/>
      <c r="G5" s="23"/>
      <c r="H5" s="16" t="b">
        <v>0</v>
      </c>
      <c r="J5" s="24"/>
      <c r="K5" s="25"/>
      <c r="L5" s="26"/>
    </row>
    <row r="6">
      <c r="A6" s="27"/>
      <c r="B6" s="15"/>
      <c r="C6" s="23"/>
      <c r="D6" s="21" t="b">
        <v>0</v>
      </c>
      <c r="F6" s="15"/>
      <c r="G6" s="23"/>
      <c r="H6" s="16" t="b">
        <v>0</v>
      </c>
      <c r="J6" s="28"/>
      <c r="K6" s="25"/>
      <c r="L6" s="26"/>
    </row>
    <row r="7">
      <c r="B7" s="15"/>
      <c r="C7" s="23"/>
      <c r="D7" s="29" t="b">
        <v>0</v>
      </c>
      <c r="F7" s="15"/>
      <c r="G7" s="23"/>
      <c r="H7" s="16" t="b">
        <v>0</v>
      </c>
      <c r="J7" s="28"/>
      <c r="K7" s="25"/>
      <c r="L7" s="26"/>
    </row>
    <row r="8">
      <c r="B8" s="30" t="s">
        <v>13</v>
      </c>
      <c r="C8" s="31">
        <f>SUM(C3:C7)</f>
        <v>1663.12</v>
      </c>
      <c r="D8" s="32" t="b">
        <v>0</v>
      </c>
      <c r="F8" s="30" t="s">
        <v>13</v>
      </c>
      <c r="G8" s="33">
        <f>SUM(G4:G7)</f>
        <v>0</v>
      </c>
      <c r="H8" s="34" t="b">
        <v>0</v>
      </c>
      <c r="J8" s="35"/>
      <c r="K8" s="36"/>
      <c r="L8" s="26"/>
    </row>
    <row r="9">
      <c r="B9" s="37"/>
      <c r="J9" s="35"/>
      <c r="K9" s="36"/>
      <c r="L9" s="36"/>
    </row>
    <row r="10">
      <c r="B10" s="1" t="s">
        <v>18</v>
      </c>
      <c r="C10" s="2"/>
      <c r="D10" s="3"/>
      <c r="F10" s="4" t="s">
        <v>19</v>
      </c>
      <c r="G10" s="2"/>
      <c r="H10" s="3"/>
    </row>
    <row r="11">
      <c r="B11" s="38" t="s">
        <v>2</v>
      </c>
      <c r="C11" s="39" t="s">
        <v>3</v>
      </c>
      <c r="D11" s="40"/>
      <c r="F11" s="9" t="s">
        <v>2</v>
      </c>
      <c r="G11" s="11" t="s">
        <v>3</v>
      </c>
      <c r="H11" s="12"/>
    </row>
    <row r="12">
      <c r="B12" s="41" t="s">
        <v>20</v>
      </c>
      <c r="C12" s="42"/>
      <c r="D12" s="43" t="b">
        <v>0</v>
      </c>
      <c r="F12" s="22" t="s">
        <v>5</v>
      </c>
      <c r="G12" s="23"/>
      <c r="H12" s="16" t="b">
        <v>0</v>
      </c>
      <c r="J12" s="44"/>
    </row>
    <row r="13">
      <c r="B13" s="15" t="s">
        <v>6</v>
      </c>
      <c r="C13" s="42"/>
      <c r="D13" s="43" t="b">
        <v>0</v>
      </c>
      <c r="F13" s="15" t="s">
        <v>120</v>
      </c>
      <c r="G13" s="23">
        <v>103.11</v>
      </c>
      <c r="H13" s="46" t="b">
        <v>1</v>
      </c>
      <c r="J13" s="47"/>
      <c r="K13" s="48"/>
      <c r="L13" s="49"/>
    </row>
    <row r="14">
      <c r="B14" s="45" t="s">
        <v>23</v>
      </c>
      <c r="C14" s="50">
        <v>88.88</v>
      </c>
      <c r="D14" s="43" t="b">
        <v>1</v>
      </c>
      <c r="F14" s="15"/>
      <c r="G14" s="23"/>
      <c r="H14" s="46" t="b">
        <v>0</v>
      </c>
      <c r="J14" s="51"/>
      <c r="K14" s="25"/>
      <c r="L14" s="52"/>
    </row>
    <row r="15">
      <c r="B15" s="45" t="s">
        <v>122</v>
      </c>
      <c r="C15" s="50">
        <f>139.9*2 + 27.9*3</f>
        <v>363.5</v>
      </c>
      <c r="D15" s="43" t="b">
        <v>1</v>
      </c>
      <c r="F15" s="15"/>
      <c r="G15" s="23"/>
      <c r="H15" s="46" t="b">
        <v>0</v>
      </c>
      <c r="J15" s="51"/>
      <c r="K15" s="25"/>
      <c r="L15" s="52"/>
    </row>
    <row r="16">
      <c r="B16" s="45" t="s">
        <v>123</v>
      </c>
      <c r="C16" s="50">
        <v>221.44</v>
      </c>
      <c r="D16" s="43" t="b">
        <v>1</v>
      </c>
      <c r="F16" s="15"/>
      <c r="G16" s="23"/>
      <c r="H16" s="46" t="b">
        <v>0</v>
      </c>
      <c r="J16" s="51"/>
      <c r="K16" s="25"/>
      <c r="L16" s="52"/>
    </row>
    <row r="17">
      <c r="B17" s="45" t="s">
        <v>124</v>
      </c>
      <c r="C17" s="42">
        <v>284.91</v>
      </c>
      <c r="D17" s="43" t="b">
        <v>1</v>
      </c>
      <c r="F17" s="15"/>
      <c r="G17" s="23"/>
      <c r="H17" s="46" t="b">
        <v>0</v>
      </c>
      <c r="J17" s="28"/>
      <c r="K17" s="25"/>
      <c r="L17" s="52"/>
    </row>
    <row r="18">
      <c r="B18" s="53" t="s">
        <v>13</v>
      </c>
      <c r="C18" s="54">
        <f>SUM(C12:C17)</f>
        <v>958.73</v>
      </c>
      <c r="D18" s="55" t="b">
        <v>0</v>
      </c>
      <c r="F18" s="30" t="s">
        <v>13</v>
      </c>
      <c r="G18" s="33">
        <f>SUM(G12:G17)</f>
        <v>103.11</v>
      </c>
      <c r="H18" s="34" t="b">
        <v>0</v>
      </c>
      <c r="J18" s="51"/>
      <c r="K18" s="25"/>
      <c r="L18" s="56"/>
    </row>
    <row r="19">
      <c r="B19" s="37"/>
      <c r="J19" s="57"/>
      <c r="K19" s="58"/>
      <c r="L19" s="56"/>
    </row>
    <row r="20">
      <c r="B20" s="1" t="s">
        <v>31</v>
      </c>
      <c r="C20" s="2"/>
      <c r="D20" s="3"/>
      <c r="F20" s="4" t="s">
        <v>32</v>
      </c>
      <c r="G20" s="2"/>
      <c r="H20" s="3"/>
    </row>
    <row r="21">
      <c r="B21" s="6" t="s">
        <v>2</v>
      </c>
      <c r="C21" s="11" t="s">
        <v>3</v>
      </c>
      <c r="D21" s="8"/>
      <c r="F21" s="9" t="s">
        <v>2</v>
      </c>
      <c r="G21" s="11" t="s">
        <v>3</v>
      </c>
      <c r="H21" s="12"/>
    </row>
    <row r="22">
      <c r="B22" s="15" t="s">
        <v>125</v>
      </c>
      <c r="C22" s="23">
        <v>50.0</v>
      </c>
      <c r="D22" s="16" t="b">
        <v>1</v>
      </c>
      <c r="F22" s="15" t="s">
        <v>5</v>
      </c>
      <c r="G22" s="23"/>
      <c r="H22" s="16" t="b">
        <v>0</v>
      </c>
      <c r="J22" s="5"/>
    </row>
    <row r="23">
      <c r="B23" s="15" t="s">
        <v>126</v>
      </c>
      <c r="C23" s="23">
        <v>716.28</v>
      </c>
      <c r="D23" s="16" t="b">
        <v>1</v>
      </c>
      <c r="F23" s="15" t="s">
        <v>6</v>
      </c>
      <c r="G23" s="23"/>
      <c r="H23" s="16" t="b">
        <v>0</v>
      </c>
      <c r="J23" s="13"/>
      <c r="K23" s="13"/>
      <c r="L23" s="14"/>
    </row>
    <row r="24">
      <c r="B24" s="15" t="s">
        <v>127</v>
      </c>
      <c r="C24" s="23">
        <v>195.45</v>
      </c>
      <c r="D24" s="16" t="b">
        <v>1</v>
      </c>
      <c r="F24" s="15" t="s">
        <v>37</v>
      </c>
      <c r="G24" s="23">
        <v>30.0</v>
      </c>
      <c r="H24" s="16" t="b">
        <v>0</v>
      </c>
      <c r="J24" s="24"/>
      <c r="K24" s="25"/>
      <c r="L24" s="26"/>
    </row>
    <row r="25">
      <c r="B25" s="15"/>
      <c r="C25" s="23"/>
      <c r="D25" s="16" t="b">
        <v>0</v>
      </c>
      <c r="F25" s="15"/>
      <c r="G25" s="23"/>
      <c r="H25" s="16" t="b">
        <v>0</v>
      </c>
      <c r="J25" s="35"/>
      <c r="K25" s="36"/>
      <c r="L25" s="36"/>
    </row>
    <row r="26">
      <c r="B26" s="15" t="s">
        <v>128</v>
      </c>
      <c r="C26" s="23">
        <v>99.7</v>
      </c>
      <c r="D26" s="16" t="b">
        <v>1</v>
      </c>
      <c r="F26" s="15"/>
      <c r="G26" s="23"/>
      <c r="H26" s="16" t="b">
        <v>0</v>
      </c>
    </row>
    <row r="27">
      <c r="B27" s="15"/>
      <c r="C27" s="23"/>
      <c r="D27" s="16" t="b">
        <v>0</v>
      </c>
      <c r="F27" s="15"/>
      <c r="G27" s="23"/>
      <c r="H27" s="16" t="b">
        <v>0</v>
      </c>
    </row>
    <row r="28">
      <c r="B28" s="30" t="s">
        <v>13</v>
      </c>
      <c r="C28" s="31">
        <f>SUM(C22:C27)</f>
        <v>1061.43</v>
      </c>
      <c r="D28" s="34" t="b">
        <v>0</v>
      </c>
      <c r="F28" s="30" t="s">
        <v>13</v>
      </c>
      <c r="G28" s="33">
        <f>SUM(G22:G27)</f>
        <v>30</v>
      </c>
      <c r="H28" s="34" t="b">
        <v>0</v>
      </c>
    </row>
    <row r="29">
      <c r="B29" s="37"/>
    </row>
    <row r="30">
      <c r="B30" s="1" t="s">
        <v>40</v>
      </c>
      <c r="C30" s="2"/>
      <c r="D30" s="3"/>
      <c r="F30" s="4" t="s">
        <v>45</v>
      </c>
      <c r="G30" s="2"/>
      <c r="H30" s="3"/>
    </row>
    <row r="31">
      <c r="B31" s="6" t="s">
        <v>2</v>
      </c>
      <c r="C31" s="11" t="s">
        <v>3</v>
      </c>
      <c r="D31" s="8"/>
      <c r="F31" s="9" t="s">
        <v>2</v>
      </c>
      <c r="G31" s="11" t="s">
        <v>3</v>
      </c>
      <c r="H31" s="12"/>
      <c r="K31" s="61"/>
      <c r="L31" s="49"/>
    </row>
    <row r="32">
      <c r="B32" s="6" t="s">
        <v>129</v>
      </c>
      <c r="C32" s="7">
        <v>274.91</v>
      </c>
      <c r="D32" s="16" t="b">
        <v>1</v>
      </c>
      <c r="F32" s="15" t="s">
        <v>5</v>
      </c>
      <c r="G32" s="84">
        <f>13.88+11.57+10.46+24.94+30.12+19.68+22.57+13.73+11.81+10.88+6.34+5.83+4.81+10.51+7.37+5.36+5.39+5.23+6.89+4.28+6.25+6.58</f>
        <v>244.48</v>
      </c>
      <c r="H32" s="16" t="b">
        <v>1</v>
      </c>
      <c r="K32" s="61"/>
      <c r="L32" s="49"/>
    </row>
    <row r="33">
      <c r="B33" s="6" t="s">
        <v>130</v>
      </c>
      <c r="C33" s="7">
        <f>108.29</f>
        <v>108.29</v>
      </c>
      <c r="D33" s="16" t="b">
        <v>1</v>
      </c>
      <c r="F33" s="17" t="s">
        <v>52</v>
      </c>
      <c r="G33" s="23"/>
      <c r="H33" s="16" t="b">
        <v>0</v>
      </c>
      <c r="K33" s="61"/>
      <c r="L33" s="49"/>
    </row>
    <row r="34">
      <c r="B34" s="15" t="s">
        <v>44</v>
      </c>
      <c r="C34" s="23">
        <v>4.5</v>
      </c>
      <c r="D34" s="16" t="b">
        <v>1</v>
      </c>
      <c r="F34" s="6" t="s">
        <v>59</v>
      </c>
      <c r="G34" s="23"/>
      <c r="H34" s="16" t="b">
        <v>0</v>
      </c>
      <c r="K34" s="61"/>
      <c r="L34" s="49"/>
    </row>
    <row r="35">
      <c r="B35" s="6" t="s">
        <v>131</v>
      </c>
      <c r="C35" s="7">
        <v>324.95</v>
      </c>
      <c r="D35" s="16" t="b">
        <v>1</v>
      </c>
      <c r="F35" s="6" t="s">
        <v>54</v>
      </c>
      <c r="G35" s="23"/>
      <c r="H35" s="16" t="b">
        <v>0</v>
      </c>
      <c r="K35" s="61"/>
      <c r="L35" s="49"/>
    </row>
    <row r="36">
      <c r="B36" s="6" t="s">
        <v>132</v>
      </c>
      <c r="C36" s="7">
        <v>144.5</v>
      </c>
      <c r="D36" s="16" t="b">
        <v>1</v>
      </c>
      <c r="F36" s="30" t="s">
        <v>13</v>
      </c>
      <c r="G36" s="33">
        <f>SUM(G32:G35)</f>
        <v>244.48</v>
      </c>
      <c r="H36" s="34" t="b">
        <v>0</v>
      </c>
      <c r="K36" s="61"/>
      <c r="L36" s="49"/>
    </row>
    <row r="37">
      <c r="B37" s="6" t="s">
        <v>133</v>
      </c>
      <c r="C37" s="7">
        <v>101.94</v>
      </c>
      <c r="D37" s="16" t="b">
        <v>1</v>
      </c>
      <c r="F37" s="35"/>
      <c r="G37" s="36"/>
      <c r="H37" s="26" t="b">
        <v>0</v>
      </c>
      <c r="K37" s="61"/>
      <c r="L37" s="49"/>
    </row>
    <row r="38">
      <c r="B38" s="6" t="s">
        <v>134</v>
      </c>
      <c r="C38" s="7">
        <v>30.51</v>
      </c>
      <c r="D38" s="16" t="b">
        <v>1</v>
      </c>
      <c r="F38" s="35"/>
      <c r="G38" s="36"/>
      <c r="H38" s="26" t="b">
        <v>0</v>
      </c>
      <c r="K38" s="61"/>
      <c r="L38" s="49"/>
    </row>
    <row r="39">
      <c r="B39" s="6" t="s">
        <v>135</v>
      </c>
      <c r="C39" s="23">
        <f>145.83*2</f>
        <v>291.66</v>
      </c>
      <c r="D39" s="16" t="b">
        <v>1</v>
      </c>
      <c r="K39" s="61"/>
      <c r="L39" s="49"/>
    </row>
    <row r="40">
      <c r="B40" s="30" t="s">
        <v>13</v>
      </c>
      <c r="C40" s="31">
        <f>SUM(C32:C39)</f>
        <v>1281.26</v>
      </c>
      <c r="D40" s="34" t="b">
        <v>0</v>
      </c>
      <c r="K40" s="61"/>
      <c r="L40" s="49"/>
    </row>
    <row r="41">
      <c r="K41" s="61"/>
      <c r="L41" s="49"/>
    </row>
    <row r="42">
      <c r="F42" s="60"/>
      <c r="G42" s="63"/>
      <c r="K42" s="49"/>
      <c r="L42" s="49"/>
    </row>
    <row r="43">
      <c r="B43" s="37"/>
      <c r="F43" s="60"/>
      <c r="G43" s="63"/>
      <c r="K43" s="49"/>
      <c r="L43" s="49"/>
    </row>
    <row r="44">
      <c r="B44" s="4" t="s">
        <v>60</v>
      </c>
      <c r="C44" s="2"/>
      <c r="D44" s="3"/>
      <c r="F44" s="4" t="s">
        <v>61</v>
      </c>
      <c r="G44" s="2"/>
      <c r="H44" s="3"/>
      <c r="K44" s="49"/>
      <c r="L44" s="49"/>
    </row>
    <row r="45">
      <c r="B45" s="9" t="s">
        <v>2</v>
      </c>
      <c r="C45" s="11" t="s">
        <v>3</v>
      </c>
      <c r="D45" s="12"/>
      <c r="F45" s="9" t="s">
        <v>2</v>
      </c>
      <c r="G45" s="11" t="s">
        <v>3</v>
      </c>
      <c r="H45" s="12"/>
      <c r="K45" s="61"/>
      <c r="L45" s="49"/>
    </row>
    <row r="46">
      <c r="B46" s="15" t="s">
        <v>5</v>
      </c>
      <c r="C46" s="85">
        <f>10.72+30.91+35.89+13.4+13.64</f>
        <v>104.56</v>
      </c>
      <c r="D46" s="16" t="b">
        <v>1</v>
      </c>
      <c r="F46" s="15" t="s">
        <v>5</v>
      </c>
      <c r="G46" s="23">
        <f>25.49+26.32+19.99+25.13</f>
        <v>96.93</v>
      </c>
      <c r="H46" s="16" t="b">
        <v>1</v>
      </c>
      <c r="K46" s="49"/>
      <c r="L46" s="49"/>
    </row>
    <row r="47">
      <c r="B47" s="6" t="s">
        <v>136</v>
      </c>
      <c r="C47" s="23">
        <v>88.99</v>
      </c>
      <c r="D47" s="16" t="b">
        <v>1</v>
      </c>
      <c r="F47" s="17" t="s">
        <v>65</v>
      </c>
      <c r="G47" s="23">
        <v>0.0</v>
      </c>
      <c r="H47" s="16" t="b">
        <v>0</v>
      </c>
      <c r="K47" s="49"/>
      <c r="L47" s="66"/>
    </row>
    <row r="48">
      <c r="B48" s="15" t="s">
        <v>6</v>
      </c>
      <c r="C48" s="23"/>
      <c r="D48" s="16" t="b">
        <v>0</v>
      </c>
      <c r="F48" s="6" t="s">
        <v>137</v>
      </c>
      <c r="G48" s="23">
        <f>157.2</f>
        <v>157.2</v>
      </c>
      <c r="H48" s="16" t="b">
        <v>1</v>
      </c>
      <c r="L48" s="25"/>
    </row>
    <row r="49">
      <c r="B49" s="6"/>
      <c r="C49" s="23"/>
      <c r="D49" s="16" t="b">
        <v>0</v>
      </c>
      <c r="F49" s="6" t="s">
        <v>138</v>
      </c>
      <c r="G49" s="23">
        <f>174.67</f>
        <v>174.67</v>
      </c>
      <c r="H49" s="16" t="b">
        <v>1</v>
      </c>
      <c r="L49" s="25"/>
    </row>
    <row r="50">
      <c r="B50" s="64" t="s">
        <v>13</v>
      </c>
      <c r="C50" s="33">
        <f>SUM(C46:C49)</f>
        <v>193.55</v>
      </c>
      <c r="D50" s="34" t="b">
        <v>0</v>
      </c>
      <c r="F50" s="64" t="s">
        <v>13</v>
      </c>
      <c r="G50" s="33">
        <f>SUM(G46:G49)</f>
        <v>428.8</v>
      </c>
      <c r="H50" s="34" t="b">
        <v>0</v>
      </c>
      <c r="L50" s="25"/>
    </row>
    <row r="51">
      <c r="B51" s="37"/>
      <c r="L51" s="36"/>
    </row>
    <row r="52">
      <c r="B52" s="37"/>
    </row>
    <row r="53">
      <c r="B53" s="37"/>
      <c r="E53" s="49"/>
      <c r="F53" s="49"/>
    </row>
    <row r="54">
      <c r="B54" s="4" t="s">
        <v>72</v>
      </c>
      <c r="C54" s="2"/>
      <c r="D54" s="3"/>
      <c r="E54" s="49"/>
      <c r="F54" s="65" t="s">
        <v>73</v>
      </c>
      <c r="G54" s="2"/>
      <c r="H54" s="3"/>
    </row>
    <row r="55">
      <c r="B55" s="9" t="s">
        <v>2</v>
      </c>
      <c r="C55" s="11" t="s">
        <v>3</v>
      </c>
      <c r="D55" s="12"/>
      <c r="E55" s="49"/>
      <c r="F55" s="67" t="s">
        <v>2</v>
      </c>
      <c r="G55" s="68" t="s">
        <v>3</v>
      </c>
      <c r="H55" s="69"/>
    </row>
    <row r="56">
      <c r="B56" s="22" t="s">
        <v>78</v>
      </c>
      <c r="C56" s="23">
        <v>203.0</v>
      </c>
      <c r="D56" s="16" t="b">
        <v>0</v>
      </c>
      <c r="E56" s="49"/>
      <c r="F56" s="70" t="s">
        <v>139</v>
      </c>
      <c r="G56" s="71">
        <v>37.68</v>
      </c>
      <c r="H56" s="72" t="b">
        <v>1</v>
      </c>
    </row>
    <row r="57">
      <c r="B57" s="15" t="s">
        <v>6</v>
      </c>
      <c r="C57" s="23"/>
      <c r="D57" s="16" t="b">
        <v>0</v>
      </c>
      <c r="E57" s="49"/>
      <c r="F57" s="38" t="s">
        <v>140</v>
      </c>
      <c r="G57" s="50">
        <v>148.4</v>
      </c>
      <c r="H57" s="72" t="b">
        <v>1</v>
      </c>
    </row>
    <row r="58">
      <c r="B58" s="6"/>
      <c r="C58" s="23"/>
      <c r="D58" s="16" t="b">
        <v>0</v>
      </c>
      <c r="E58" s="49"/>
      <c r="F58" s="38" t="s">
        <v>141</v>
      </c>
      <c r="G58" s="42">
        <v>800.0</v>
      </c>
      <c r="H58" s="72" t="b">
        <v>1</v>
      </c>
      <c r="I58" s="82" t="s">
        <v>142</v>
      </c>
    </row>
    <row r="59">
      <c r="B59" s="6"/>
      <c r="C59" s="23"/>
      <c r="D59" s="16" t="b">
        <v>0</v>
      </c>
      <c r="E59" s="49"/>
      <c r="F59" s="38" t="s">
        <v>143</v>
      </c>
      <c r="G59" s="42">
        <v>39.9</v>
      </c>
      <c r="H59" s="72" t="b">
        <v>1</v>
      </c>
    </row>
    <row r="60">
      <c r="B60" s="64" t="s">
        <v>13</v>
      </c>
      <c r="C60" s="33">
        <f>SUM(C56:C59)</f>
        <v>203</v>
      </c>
      <c r="D60" s="34" t="b">
        <v>0</v>
      </c>
      <c r="E60" s="49"/>
      <c r="F60" s="77"/>
      <c r="G60" s="78"/>
      <c r="H60" s="75" t="b">
        <v>0</v>
      </c>
    </row>
    <row r="61">
      <c r="B61" s="37"/>
      <c r="E61" s="49"/>
      <c r="F61" s="79" t="s">
        <v>13</v>
      </c>
      <c r="G61" s="80">
        <f>SUM(G56:G60)</f>
        <v>1025.98</v>
      </c>
      <c r="H61" s="81" t="b">
        <v>0</v>
      </c>
    </row>
    <row r="62">
      <c r="B62" s="37"/>
    </row>
    <row r="63">
      <c r="B63" s="4" t="s">
        <v>118</v>
      </c>
      <c r="C63" s="2"/>
      <c r="D63" s="3"/>
      <c r="F63" s="4" t="s">
        <v>119</v>
      </c>
      <c r="G63" s="2"/>
      <c r="H63" s="3"/>
    </row>
    <row r="64">
      <c r="B64" s="9" t="s">
        <v>2</v>
      </c>
      <c r="C64" s="11" t="s">
        <v>3</v>
      </c>
      <c r="D64" s="12"/>
      <c r="F64" s="9" t="s">
        <v>2</v>
      </c>
      <c r="G64" s="11" t="s">
        <v>3</v>
      </c>
      <c r="H64" s="12"/>
    </row>
    <row r="65">
      <c r="B65" s="22" t="s">
        <v>78</v>
      </c>
      <c r="C65" s="23"/>
      <c r="D65" s="16" t="b">
        <v>0</v>
      </c>
      <c r="F65" s="15" t="s">
        <v>144</v>
      </c>
      <c r="G65" s="23"/>
      <c r="H65" s="16" t="b">
        <v>0</v>
      </c>
    </row>
    <row r="66">
      <c r="B66" s="15" t="s">
        <v>6</v>
      </c>
      <c r="C66" s="23"/>
      <c r="D66" s="16" t="b">
        <v>0</v>
      </c>
      <c r="F66" s="15"/>
      <c r="G66" s="23"/>
      <c r="H66" s="16" t="b">
        <v>0</v>
      </c>
    </row>
    <row r="67">
      <c r="B67" s="6"/>
      <c r="C67" s="23"/>
      <c r="D67" s="16" t="b">
        <v>0</v>
      </c>
      <c r="F67" s="6"/>
      <c r="G67" s="23"/>
      <c r="H67" s="16" t="b">
        <v>0</v>
      </c>
    </row>
    <row r="68">
      <c r="B68" s="6"/>
      <c r="C68" s="23"/>
      <c r="D68" s="16" t="b">
        <v>0</v>
      </c>
      <c r="F68" s="6"/>
      <c r="G68" s="23"/>
      <c r="H68" s="16" t="b">
        <v>0</v>
      </c>
    </row>
    <row r="69">
      <c r="B69" s="64" t="s">
        <v>13</v>
      </c>
      <c r="C69" s="33">
        <f>SUM(C65:C68)</f>
        <v>0</v>
      </c>
      <c r="D69" s="34" t="b">
        <v>0</v>
      </c>
      <c r="F69" s="64" t="s">
        <v>13</v>
      </c>
      <c r="G69" s="33">
        <f>SUM(G65:G68)</f>
        <v>0</v>
      </c>
      <c r="H69" s="34" t="b">
        <v>0</v>
      </c>
    </row>
    <row r="70">
      <c r="B70" s="37"/>
    </row>
    <row r="71">
      <c r="B71" s="37"/>
    </row>
    <row r="72">
      <c r="B72" s="37"/>
    </row>
    <row r="73">
      <c r="B73" s="37"/>
    </row>
    <row r="74">
      <c r="B74" s="37"/>
    </row>
    <row r="75">
      <c r="B75" s="37"/>
    </row>
    <row r="76">
      <c r="B76" s="37"/>
    </row>
    <row r="77">
      <c r="B77" s="37"/>
    </row>
    <row r="78">
      <c r="B78" s="37"/>
    </row>
    <row r="79">
      <c r="B79" s="37"/>
    </row>
    <row r="80">
      <c r="B80" s="37"/>
    </row>
    <row r="81">
      <c r="B81" s="37"/>
    </row>
    <row r="82">
      <c r="B82" s="37"/>
    </row>
    <row r="83">
      <c r="B83" s="37"/>
    </row>
    <row r="84">
      <c r="B84" s="37"/>
    </row>
    <row r="85">
      <c r="B85" s="37"/>
    </row>
    <row r="86">
      <c r="B86" s="37"/>
    </row>
    <row r="87">
      <c r="B87" s="37"/>
    </row>
    <row r="88">
      <c r="B88" s="37"/>
    </row>
    <row r="89">
      <c r="B89" s="37"/>
    </row>
    <row r="90">
      <c r="B90" s="37"/>
    </row>
    <row r="91">
      <c r="B91" s="37"/>
    </row>
    <row r="92">
      <c r="B92" s="37"/>
    </row>
    <row r="93">
      <c r="B93" s="37"/>
    </row>
    <row r="94">
      <c r="B94" s="37"/>
    </row>
    <row r="95">
      <c r="B95" s="37"/>
    </row>
    <row r="96">
      <c r="B96" s="37"/>
    </row>
    <row r="97">
      <c r="B97" s="37"/>
    </row>
    <row r="98">
      <c r="B98" s="37"/>
    </row>
    <row r="99">
      <c r="B99" s="37"/>
    </row>
    <row r="100">
      <c r="B100" s="37"/>
    </row>
    <row r="101">
      <c r="B101" s="37"/>
    </row>
    <row r="102">
      <c r="B102" s="37"/>
    </row>
    <row r="103">
      <c r="B103" s="37"/>
    </row>
    <row r="104">
      <c r="B104" s="37"/>
    </row>
    <row r="105">
      <c r="B105" s="37"/>
    </row>
    <row r="106">
      <c r="B106" s="37"/>
    </row>
    <row r="107">
      <c r="B107" s="37"/>
    </row>
    <row r="108">
      <c r="B108" s="37"/>
    </row>
    <row r="109">
      <c r="B109" s="37"/>
    </row>
    <row r="110">
      <c r="B110" s="37"/>
    </row>
    <row r="111">
      <c r="B111" s="37"/>
    </row>
    <row r="112">
      <c r="B112" s="37"/>
    </row>
    <row r="113">
      <c r="B113" s="37"/>
    </row>
    <row r="114">
      <c r="B114" s="37"/>
    </row>
    <row r="115">
      <c r="B115" s="37"/>
    </row>
    <row r="116">
      <c r="B116" s="37"/>
    </row>
    <row r="117">
      <c r="B117" s="37"/>
    </row>
    <row r="118">
      <c r="B118" s="37"/>
    </row>
    <row r="119">
      <c r="B119" s="37"/>
    </row>
    <row r="120">
      <c r="B120" s="37"/>
    </row>
    <row r="121">
      <c r="B121" s="37"/>
    </row>
    <row r="122">
      <c r="B122" s="37"/>
    </row>
    <row r="123">
      <c r="B123" s="37"/>
    </row>
    <row r="124">
      <c r="B124" s="37"/>
    </row>
    <row r="125">
      <c r="B125" s="37"/>
    </row>
    <row r="126">
      <c r="B126" s="37"/>
    </row>
    <row r="127">
      <c r="B127" s="37"/>
    </row>
    <row r="128">
      <c r="B128" s="37"/>
    </row>
    <row r="129">
      <c r="B129" s="37"/>
    </row>
    <row r="130">
      <c r="B130" s="37"/>
    </row>
    <row r="131">
      <c r="B131" s="37"/>
    </row>
    <row r="132">
      <c r="B132" s="37"/>
    </row>
    <row r="133">
      <c r="B133" s="37"/>
    </row>
    <row r="134">
      <c r="B134" s="37"/>
    </row>
    <row r="135">
      <c r="B135" s="37"/>
    </row>
    <row r="136">
      <c r="B136" s="37"/>
    </row>
    <row r="137">
      <c r="B137" s="37"/>
    </row>
    <row r="138">
      <c r="B138" s="37"/>
    </row>
    <row r="139">
      <c r="B139" s="37"/>
    </row>
    <row r="140">
      <c r="B140" s="37"/>
    </row>
    <row r="141">
      <c r="B141" s="37"/>
    </row>
    <row r="142">
      <c r="B142" s="37"/>
    </row>
    <row r="143">
      <c r="B143" s="37"/>
    </row>
    <row r="144">
      <c r="B144" s="37"/>
    </row>
    <row r="145">
      <c r="B145" s="37"/>
    </row>
    <row r="146">
      <c r="B146" s="37"/>
    </row>
    <row r="147">
      <c r="B147" s="37"/>
    </row>
    <row r="148">
      <c r="B148" s="37"/>
    </row>
    <row r="149">
      <c r="B149" s="37"/>
    </row>
    <row r="150">
      <c r="B150" s="37"/>
    </row>
    <row r="151">
      <c r="B151" s="37"/>
    </row>
    <row r="152">
      <c r="B152" s="37"/>
    </row>
    <row r="153">
      <c r="B153" s="37"/>
    </row>
    <row r="154">
      <c r="B154" s="37"/>
    </row>
    <row r="155">
      <c r="B155" s="37"/>
    </row>
    <row r="156">
      <c r="B156" s="37"/>
    </row>
    <row r="157">
      <c r="B157" s="37"/>
    </row>
    <row r="158">
      <c r="B158" s="37"/>
    </row>
    <row r="159">
      <c r="B159" s="37"/>
    </row>
    <row r="160">
      <c r="B160" s="37"/>
    </row>
    <row r="161">
      <c r="B161" s="37"/>
    </row>
    <row r="162">
      <c r="B162" s="37"/>
    </row>
    <row r="163">
      <c r="B163" s="37"/>
    </row>
    <row r="164">
      <c r="B164" s="37"/>
    </row>
    <row r="165">
      <c r="B165" s="37"/>
    </row>
    <row r="166">
      <c r="B166" s="37"/>
    </row>
    <row r="167">
      <c r="B167" s="37"/>
    </row>
    <row r="168">
      <c r="B168" s="37"/>
    </row>
    <row r="169">
      <c r="B169" s="37"/>
    </row>
    <row r="170">
      <c r="B170" s="37"/>
    </row>
    <row r="171">
      <c r="B171" s="37"/>
    </row>
    <row r="172">
      <c r="B172" s="37"/>
    </row>
    <row r="173">
      <c r="B173" s="37"/>
    </row>
    <row r="174">
      <c r="B174" s="37"/>
    </row>
    <row r="175">
      <c r="B175" s="37"/>
    </row>
    <row r="176">
      <c r="B176" s="37"/>
    </row>
    <row r="177">
      <c r="B177" s="37"/>
    </row>
    <row r="178">
      <c r="B178" s="37"/>
    </row>
    <row r="179">
      <c r="B179" s="37"/>
    </row>
    <row r="180">
      <c r="B180" s="37"/>
    </row>
    <row r="181">
      <c r="B181" s="37"/>
    </row>
    <row r="182">
      <c r="B182" s="37"/>
    </row>
    <row r="183">
      <c r="B183" s="37"/>
    </row>
    <row r="184">
      <c r="B184" s="37"/>
    </row>
    <row r="185">
      <c r="B185" s="37"/>
    </row>
    <row r="186">
      <c r="B186" s="37"/>
    </row>
    <row r="187">
      <c r="B187" s="37"/>
    </row>
    <row r="188">
      <c r="B188" s="37"/>
    </row>
    <row r="189">
      <c r="B189" s="37"/>
    </row>
    <row r="190">
      <c r="B190" s="37"/>
    </row>
    <row r="191">
      <c r="B191" s="37"/>
    </row>
    <row r="192">
      <c r="B192" s="37"/>
    </row>
    <row r="193">
      <c r="B193" s="37"/>
    </row>
    <row r="194">
      <c r="B194" s="37"/>
    </row>
    <row r="195">
      <c r="B195" s="37"/>
    </row>
    <row r="196">
      <c r="B196" s="37"/>
    </row>
    <row r="197">
      <c r="B197" s="37"/>
    </row>
    <row r="198">
      <c r="B198" s="37"/>
    </row>
    <row r="199">
      <c r="B199" s="37"/>
    </row>
    <row r="200">
      <c r="B200" s="37"/>
    </row>
    <row r="201">
      <c r="B201" s="37"/>
    </row>
    <row r="202">
      <c r="B202" s="37"/>
    </row>
    <row r="203">
      <c r="B203" s="37"/>
    </row>
    <row r="204">
      <c r="B204" s="37"/>
    </row>
    <row r="205">
      <c r="B205" s="37"/>
    </row>
    <row r="206">
      <c r="B206" s="37"/>
    </row>
    <row r="207">
      <c r="B207" s="37"/>
    </row>
    <row r="208">
      <c r="B208" s="37"/>
    </row>
    <row r="209">
      <c r="B209" s="37"/>
    </row>
    <row r="210">
      <c r="B210" s="37"/>
    </row>
    <row r="211">
      <c r="B211" s="37"/>
    </row>
    <row r="212">
      <c r="B212" s="37"/>
    </row>
    <row r="213">
      <c r="B213" s="37"/>
    </row>
    <row r="214">
      <c r="B214" s="37"/>
    </row>
    <row r="215">
      <c r="B215" s="37"/>
    </row>
    <row r="216">
      <c r="B216" s="37"/>
    </row>
    <row r="217">
      <c r="B217" s="37"/>
    </row>
    <row r="218">
      <c r="B218" s="37"/>
    </row>
    <row r="219">
      <c r="B219" s="37"/>
    </row>
    <row r="220">
      <c r="B220" s="37"/>
    </row>
    <row r="221">
      <c r="B221" s="37"/>
    </row>
    <row r="222">
      <c r="B222" s="37"/>
    </row>
    <row r="223">
      <c r="B223" s="37"/>
    </row>
    <row r="224">
      <c r="B224" s="37"/>
    </row>
    <row r="225">
      <c r="B225" s="37"/>
    </row>
    <row r="226">
      <c r="B226" s="37"/>
    </row>
    <row r="227">
      <c r="B227" s="37"/>
    </row>
    <row r="228">
      <c r="B228" s="37"/>
    </row>
    <row r="229">
      <c r="B229" s="37"/>
    </row>
    <row r="230">
      <c r="B230" s="37"/>
    </row>
    <row r="231">
      <c r="B231" s="37"/>
    </row>
    <row r="232">
      <c r="B232" s="37"/>
    </row>
    <row r="233">
      <c r="B233" s="37"/>
    </row>
    <row r="234">
      <c r="B234" s="37"/>
    </row>
    <row r="235">
      <c r="B235" s="37"/>
    </row>
    <row r="236">
      <c r="B236" s="37"/>
    </row>
    <row r="237">
      <c r="B237" s="37"/>
    </row>
    <row r="238">
      <c r="B238" s="37"/>
    </row>
    <row r="239">
      <c r="B239" s="37"/>
    </row>
    <row r="240">
      <c r="B240" s="37"/>
    </row>
    <row r="241">
      <c r="B241" s="37"/>
    </row>
    <row r="242">
      <c r="B242" s="37"/>
    </row>
    <row r="243">
      <c r="B243" s="37"/>
    </row>
    <row r="244">
      <c r="B244" s="37"/>
    </row>
    <row r="245">
      <c r="B245" s="37"/>
    </row>
    <row r="246">
      <c r="B246" s="37"/>
    </row>
    <row r="247">
      <c r="B247" s="37"/>
    </row>
    <row r="248">
      <c r="B248" s="37"/>
    </row>
    <row r="249">
      <c r="B249" s="37"/>
    </row>
    <row r="250">
      <c r="B250" s="37"/>
    </row>
    <row r="251">
      <c r="B251" s="37"/>
    </row>
    <row r="252">
      <c r="B252" s="37"/>
    </row>
    <row r="253">
      <c r="B253" s="37"/>
    </row>
    <row r="254">
      <c r="B254" s="37"/>
    </row>
    <row r="255">
      <c r="B255" s="37"/>
    </row>
    <row r="256">
      <c r="B256" s="37"/>
    </row>
    <row r="257">
      <c r="B257" s="37"/>
    </row>
    <row r="258">
      <c r="B258" s="37"/>
    </row>
    <row r="259">
      <c r="B259" s="37"/>
    </row>
    <row r="260">
      <c r="B260" s="37"/>
    </row>
    <row r="261">
      <c r="B261" s="37"/>
    </row>
    <row r="262">
      <c r="B262" s="37"/>
    </row>
    <row r="263">
      <c r="B263" s="37"/>
    </row>
    <row r="264">
      <c r="B264" s="37"/>
    </row>
    <row r="265">
      <c r="B265" s="37"/>
    </row>
    <row r="266">
      <c r="B266" s="37"/>
    </row>
    <row r="267">
      <c r="B267" s="37"/>
    </row>
    <row r="268">
      <c r="B268" s="37"/>
    </row>
    <row r="269">
      <c r="B269" s="37"/>
    </row>
    <row r="270">
      <c r="B270" s="37"/>
    </row>
    <row r="271">
      <c r="B271" s="37"/>
    </row>
    <row r="272">
      <c r="B272" s="37"/>
    </row>
    <row r="273">
      <c r="B273" s="37"/>
    </row>
    <row r="274">
      <c r="B274" s="37"/>
    </row>
    <row r="275">
      <c r="B275" s="37"/>
    </row>
    <row r="276">
      <c r="B276" s="37"/>
    </row>
    <row r="277">
      <c r="B277" s="37"/>
    </row>
    <row r="278">
      <c r="B278" s="37"/>
    </row>
    <row r="279">
      <c r="B279" s="37"/>
    </row>
    <row r="280">
      <c r="B280" s="37"/>
    </row>
    <row r="281">
      <c r="B281" s="37"/>
    </row>
    <row r="282">
      <c r="B282" s="37"/>
    </row>
    <row r="283">
      <c r="B283" s="37"/>
    </row>
    <row r="284">
      <c r="B284" s="37"/>
    </row>
    <row r="285">
      <c r="B285" s="37"/>
    </row>
    <row r="286">
      <c r="B286" s="37"/>
    </row>
    <row r="287">
      <c r="B287" s="37"/>
    </row>
    <row r="288">
      <c r="B288" s="37"/>
    </row>
    <row r="289">
      <c r="B289" s="37"/>
    </row>
    <row r="290">
      <c r="B290" s="37"/>
    </row>
    <row r="291">
      <c r="B291" s="37"/>
    </row>
    <row r="292">
      <c r="B292" s="37"/>
    </row>
    <row r="293">
      <c r="B293" s="37"/>
    </row>
    <row r="294">
      <c r="B294" s="37"/>
    </row>
    <row r="295">
      <c r="B295" s="37"/>
    </row>
    <row r="296">
      <c r="B296" s="37"/>
    </row>
    <row r="297">
      <c r="B297" s="37"/>
    </row>
    <row r="298">
      <c r="B298" s="37"/>
    </row>
    <row r="299">
      <c r="B299" s="37"/>
    </row>
    <row r="300">
      <c r="B300" s="37"/>
    </row>
    <row r="301">
      <c r="B301" s="37"/>
    </row>
    <row r="302">
      <c r="B302" s="37"/>
    </row>
    <row r="303">
      <c r="B303" s="37"/>
    </row>
    <row r="304">
      <c r="B304" s="37"/>
    </row>
    <row r="305">
      <c r="B305" s="37"/>
    </row>
    <row r="306">
      <c r="B306" s="37"/>
    </row>
    <row r="307">
      <c r="B307" s="37"/>
    </row>
    <row r="308">
      <c r="B308" s="37"/>
    </row>
    <row r="309">
      <c r="B309" s="37"/>
    </row>
    <row r="310">
      <c r="B310" s="37"/>
    </row>
    <row r="311">
      <c r="B311" s="37"/>
    </row>
    <row r="312">
      <c r="B312" s="37"/>
    </row>
    <row r="313">
      <c r="B313" s="37"/>
    </row>
    <row r="314">
      <c r="B314" s="37"/>
    </row>
    <row r="315">
      <c r="B315" s="37"/>
    </row>
    <row r="316">
      <c r="B316" s="37"/>
    </row>
    <row r="317">
      <c r="B317" s="37"/>
    </row>
    <row r="318">
      <c r="B318" s="37"/>
    </row>
    <row r="319">
      <c r="B319" s="37"/>
    </row>
    <row r="320">
      <c r="B320" s="37"/>
    </row>
    <row r="321">
      <c r="B321" s="37"/>
    </row>
    <row r="322">
      <c r="B322" s="37"/>
    </row>
    <row r="323">
      <c r="B323" s="37"/>
    </row>
    <row r="324">
      <c r="B324" s="37"/>
    </row>
    <row r="325">
      <c r="B325" s="37"/>
    </row>
    <row r="326">
      <c r="B326" s="37"/>
    </row>
    <row r="327">
      <c r="B327" s="37"/>
    </row>
    <row r="328">
      <c r="B328" s="37"/>
    </row>
    <row r="329">
      <c r="B329" s="37"/>
    </row>
    <row r="330">
      <c r="B330" s="37"/>
    </row>
    <row r="331">
      <c r="B331" s="37"/>
    </row>
    <row r="332">
      <c r="B332" s="37"/>
    </row>
    <row r="333">
      <c r="B333" s="37"/>
    </row>
    <row r="334">
      <c r="B334" s="37"/>
    </row>
    <row r="335">
      <c r="B335" s="37"/>
    </row>
    <row r="336">
      <c r="B336" s="37"/>
    </row>
    <row r="337">
      <c r="B337" s="37"/>
    </row>
    <row r="338">
      <c r="B338" s="37"/>
    </row>
    <row r="339">
      <c r="B339" s="37"/>
    </row>
    <row r="340">
      <c r="B340" s="37"/>
    </row>
    <row r="341">
      <c r="B341" s="37"/>
    </row>
    <row r="342">
      <c r="B342" s="37"/>
    </row>
    <row r="343">
      <c r="B343" s="37"/>
    </row>
    <row r="344">
      <c r="B344" s="37"/>
    </row>
    <row r="345">
      <c r="B345" s="37"/>
    </row>
    <row r="346">
      <c r="B346" s="37"/>
    </row>
    <row r="347">
      <c r="B347" s="37"/>
    </row>
    <row r="348">
      <c r="B348" s="37"/>
    </row>
    <row r="349">
      <c r="B349" s="37"/>
    </row>
    <row r="350">
      <c r="B350" s="37"/>
    </row>
    <row r="351">
      <c r="B351" s="37"/>
    </row>
    <row r="352">
      <c r="B352" s="37"/>
    </row>
    <row r="353">
      <c r="B353" s="37"/>
    </row>
    <row r="354">
      <c r="B354" s="37"/>
    </row>
    <row r="355">
      <c r="B355" s="37"/>
    </row>
    <row r="356">
      <c r="B356" s="37"/>
    </row>
    <row r="357">
      <c r="B357" s="37"/>
    </row>
    <row r="358">
      <c r="B358" s="37"/>
    </row>
    <row r="359">
      <c r="B359" s="37"/>
    </row>
    <row r="360">
      <c r="B360" s="37"/>
    </row>
    <row r="361">
      <c r="B361" s="37"/>
    </row>
    <row r="362">
      <c r="B362" s="37"/>
    </row>
    <row r="363">
      <c r="B363" s="37"/>
    </row>
    <row r="364">
      <c r="B364" s="37"/>
    </row>
    <row r="365">
      <c r="B365" s="37"/>
    </row>
    <row r="366">
      <c r="B366" s="37"/>
    </row>
    <row r="367">
      <c r="B367" s="37"/>
    </row>
    <row r="368">
      <c r="B368" s="37"/>
    </row>
    <row r="369">
      <c r="B369" s="37"/>
    </row>
    <row r="370">
      <c r="B370" s="37"/>
    </row>
    <row r="371">
      <c r="B371" s="37"/>
    </row>
    <row r="372">
      <c r="B372" s="37"/>
    </row>
    <row r="373">
      <c r="B373" s="37"/>
    </row>
    <row r="374">
      <c r="B374" s="37"/>
    </row>
    <row r="375">
      <c r="B375" s="37"/>
    </row>
    <row r="376">
      <c r="B376" s="37"/>
    </row>
    <row r="377">
      <c r="B377" s="37"/>
    </row>
    <row r="378">
      <c r="B378" s="37"/>
    </row>
    <row r="379">
      <c r="B379" s="37"/>
    </row>
    <row r="380">
      <c r="B380" s="37"/>
    </row>
    <row r="381">
      <c r="B381" s="37"/>
    </row>
    <row r="382">
      <c r="B382" s="37"/>
    </row>
    <row r="383">
      <c r="B383" s="37"/>
    </row>
    <row r="384">
      <c r="B384" s="37"/>
    </row>
    <row r="385">
      <c r="B385" s="37"/>
    </row>
    <row r="386">
      <c r="B386" s="37"/>
    </row>
    <row r="387">
      <c r="B387" s="37"/>
    </row>
    <row r="388">
      <c r="B388" s="37"/>
    </row>
    <row r="389">
      <c r="B389" s="37"/>
    </row>
    <row r="390">
      <c r="B390" s="37"/>
    </row>
    <row r="391">
      <c r="B391" s="37"/>
    </row>
    <row r="392">
      <c r="B392" s="37"/>
    </row>
    <row r="393">
      <c r="B393" s="37"/>
    </row>
    <row r="394">
      <c r="B394" s="37"/>
    </row>
    <row r="395">
      <c r="B395" s="37"/>
    </row>
    <row r="396">
      <c r="B396" s="37"/>
    </row>
    <row r="397">
      <c r="B397" s="37"/>
    </row>
    <row r="398">
      <c r="B398" s="37"/>
    </row>
    <row r="399">
      <c r="B399" s="37"/>
    </row>
    <row r="400">
      <c r="B400" s="37"/>
    </row>
    <row r="401">
      <c r="B401" s="37"/>
    </row>
    <row r="402">
      <c r="B402" s="37"/>
    </row>
    <row r="403">
      <c r="B403" s="37"/>
    </row>
    <row r="404">
      <c r="B404" s="37"/>
    </row>
    <row r="405">
      <c r="B405" s="37"/>
    </row>
    <row r="406">
      <c r="B406" s="37"/>
    </row>
    <row r="407">
      <c r="B407" s="37"/>
    </row>
    <row r="408">
      <c r="B408" s="37"/>
    </row>
    <row r="409">
      <c r="B409" s="37"/>
    </row>
    <row r="410">
      <c r="B410" s="37"/>
    </row>
    <row r="411">
      <c r="B411" s="37"/>
    </row>
    <row r="412">
      <c r="B412" s="37"/>
    </row>
    <row r="413">
      <c r="B413" s="37"/>
    </row>
    <row r="414">
      <c r="B414" s="37"/>
    </row>
    <row r="415">
      <c r="B415" s="37"/>
    </row>
    <row r="416">
      <c r="B416" s="37"/>
    </row>
    <row r="417">
      <c r="B417" s="37"/>
    </row>
    <row r="418">
      <c r="B418" s="37"/>
    </row>
    <row r="419">
      <c r="B419" s="37"/>
    </row>
    <row r="420">
      <c r="B420" s="37"/>
    </row>
    <row r="421">
      <c r="B421" s="37"/>
    </row>
    <row r="422">
      <c r="B422" s="37"/>
    </row>
    <row r="423">
      <c r="B423" s="37"/>
    </row>
    <row r="424">
      <c r="B424" s="37"/>
    </row>
    <row r="425">
      <c r="B425" s="37"/>
    </row>
    <row r="426">
      <c r="B426" s="37"/>
    </row>
    <row r="427">
      <c r="B427" s="37"/>
    </row>
    <row r="428">
      <c r="B428" s="37"/>
    </row>
    <row r="429">
      <c r="B429" s="37"/>
    </row>
    <row r="430">
      <c r="B430" s="37"/>
    </row>
    <row r="431">
      <c r="B431" s="37"/>
    </row>
    <row r="432">
      <c r="B432" s="37"/>
    </row>
    <row r="433">
      <c r="B433" s="37"/>
    </row>
    <row r="434">
      <c r="B434" s="37"/>
    </row>
    <row r="435">
      <c r="B435" s="37"/>
    </row>
    <row r="436">
      <c r="B436" s="37"/>
    </row>
    <row r="437">
      <c r="B437" s="37"/>
    </row>
    <row r="438">
      <c r="B438" s="37"/>
    </row>
    <row r="439">
      <c r="B439" s="37"/>
    </row>
    <row r="440">
      <c r="B440" s="37"/>
    </row>
    <row r="441">
      <c r="B441" s="37"/>
    </row>
    <row r="442">
      <c r="B442" s="37"/>
    </row>
    <row r="443">
      <c r="B443" s="37"/>
    </row>
    <row r="444">
      <c r="B444" s="37"/>
    </row>
    <row r="445">
      <c r="B445" s="37"/>
    </row>
    <row r="446">
      <c r="B446" s="37"/>
    </row>
    <row r="447">
      <c r="B447" s="37"/>
    </row>
    <row r="448">
      <c r="B448" s="37"/>
    </row>
    <row r="449">
      <c r="B449" s="37"/>
    </row>
    <row r="450">
      <c r="B450" s="37"/>
    </row>
    <row r="451">
      <c r="B451" s="37"/>
    </row>
    <row r="452">
      <c r="B452" s="37"/>
    </row>
    <row r="453">
      <c r="B453" s="37"/>
    </row>
    <row r="454">
      <c r="B454" s="37"/>
    </row>
    <row r="455">
      <c r="B455" s="37"/>
    </row>
    <row r="456">
      <c r="B456" s="37"/>
    </row>
    <row r="457">
      <c r="B457" s="37"/>
    </row>
    <row r="458">
      <c r="B458" s="37"/>
    </row>
    <row r="459">
      <c r="B459" s="37"/>
    </row>
    <row r="460">
      <c r="B460" s="37"/>
    </row>
    <row r="461">
      <c r="B461" s="37"/>
    </row>
    <row r="462">
      <c r="B462" s="37"/>
    </row>
    <row r="463">
      <c r="B463" s="37"/>
    </row>
    <row r="464">
      <c r="B464" s="37"/>
    </row>
    <row r="465">
      <c r="B465" s="37"/>
    </row>
    <row r="466">
      <c r="B466" s="37"/>
    </row>
    <row r="467">
      <c r="B467" s="37"/>
    </row>
    <row r="468">
      <c r="B468" s="37"/>
    </row>
    <row r="469">
      <c r="B469" s="37"/>
    </row>
    <row r="470">
      <c r="B470" s="37"/>
    </row>
    <row r="471">
      <c r="B471" s="37"/>
    </row>
    <row r="472">
      <c r="B472" s="37"/>
    </row>
    <row r="473">
      <c r="B473" s="37"/>
    </row>
    <row r="474">
      <c r="B474" s="37"/>
    </row>
    <row r="475">
      <c r="B475" s="37"/>
    </row>
    <row r="476">
      <c r="B476" s="37"/>
    </row>
    <row r="477">
      <c r="B477" s="37"/>
    </row>
    <row r="478">
      <c r="B478" s="37"/>
    </row>
    <row r="479">
      <c r="B479" s="37"/>
    </row>
    <row r="480">
      <c r="B480" s="37"/>
    </row>
    <row r="481">
      <c r="B481" s="37"/>
    </row>
    <row r="482">
      <c r="B482" s="37"/>
    </row>
    <row r="483">
      <c r="B483" s="37"/>
    </row>
    <row r="484">
      <c r="B484" s="37"/>
    </row>
    <row r="485">
      <c r="B485" s="37"/>
    </row>
    <row r="486">
      <c r="B486" s="37"/>
    </row>
    <row r="487">
      <c r="B487" s="37"/>
    </row>
    <row r="488">
      <c r="B488" s="37"/>
    </row>
    <row r="489">
      <c r="B489" s="37"/>
    </row>
    <row r="490">
      <c r="B490" s="37"/>
    </row>
    <row r="491">
      <c r="B491" s="37"/>
    </row>
    <row r="492">
      <c r="B492" s="37"/>
    </row>
    <row r="493">
      <c r="B493" s="37"/>
    </row>
    <row r="494">
      <c r="B494" s="37"/>
    </row>
    <row r="495">
      <c r="B495" s="37"/>
    </row>
    <row r="496">
      <c r="B496" s="37"/>
    </row>
    <row r="497">
      <c r="B497" s="37"/>
    </row>
    <row r="498">
      <c r="B498" s="37"/>
    </row>
    <row r="499">
      <c r="B499" s="37"/>
    </row>
    <row r="500">
      <c r="B500" s="37"/>
    </row>
    <row r="501">
      <c r="B501" s="37"/>
    </row>
    <row r="502">
      <c r="B502" s="37"/>
    </row>
    <row r="503">
      <c r="B503" s="37"/>
    </row>
    <row r="504">
      <c r="B504" s="37"/>
    </row>
    <row r="505">
      <c r="B505" s="37"/>
    </row>
    <row r="506">
      <c r="B506" s="37"/>
    </row>
    <row r="507">
      <c r="B507" s="37"/>
    </row>
    <row r="508">
      <c r="B508" s="37"/>
    </row>
    <row r="509">
      <c r="B509" s="37"/>
    </row>
    <row r="510">
      <c r="B510" s="37"/>
    </row>
    <row r="511">
      <c r="B511" s="37"/>
    </row>
    <row r="512">
      <c r="B512" s="37"/>
    </row>
    <row r="513">
      <c r="B513" s="37"/>
    </row>
    <row r="514">
      <c r="B514" s="37"/>
    </row>
    <row r="515">
      <c r="B515" s="37"/>
    </row>
    <row r="516">
      <c r="B516" s="37"/>
    </row>
    <row r="517">
      <c r="B517" s="37"/>
    </row>
    <row r="518">
      <c r="B518" s="37"/>
    </row>
    <row r="519">
      <c r="B519" s="37"/>
    </row>
    <row r="520">
      <c r="B520" s="37"/>
    </row>
    <row r="521">
      <c r="B521" s="37"/>
    </row>
    <row r="522">
      <c r="B522" s="37"/>
    </row>
    <row r="523">
      <c r="B523" s="37"/>
    </row>
    <row r="524">
      <c r="B524" s="37"/>
    </row>
    <row r="525">
      <c r="B525" s="37"/>
    </row>
    <row r="526">
      <c r="B526" s="37"/>
    </row>
    <row r="527">
      <c r="B527" s="37"/>
    </row>
    <row r="528">
      <c r="B528" s="37"/>
    </row>
    <row r="529">
      <c r="B529" s="37"/>
    </row>
    <row r="530">
      <c r="B530" s="37"/>
    </row>
    <row r="531">
      <c r="B531" s="37"/>
    </row>
    <row r="532">
      <c r="B532" s="37"/>
    </row>
    <row r="533">
      <c r="B533" s="37"/>
    </row>
    <row r="534">
      <c r="B534" s="37"/>
    </row>
    <row r="535">
      <c r="B535" s="37"/>
    </row>
    <row r="536">
      <c r="B536" s="37"/>
    </row>
    <row r="537">
      <c r="B537" s="37"/>
    </row>
    <row r="538">
      <c r="B538" s="37"/>
    </row>
    <row r="539">
      <c r="B539" s="37"/>
    </row>
    <row r="540">
      <c r="B540" s="37"/>
    </row>
    <row r="541">
      <c r="B541" s="37"/>
    </row>
    <row r="542">
      <c r="B542" s="37"/>
    </row>
    <row r="543">
      <c r="B543" s="37"/>
    </row>
    <row r="544">
      <c r="B544" s="37"/>
    </row>
    <row r="545">
      <c r="B545" s="37"/>
    </row>
    <row r="546">
      <c r="B546" s="37"/>
    </row>
    <row r="547">
      <c r="B547" s="37"/>
    </row>
    <row r="548">
      <c r="B548" s="37"/>
    </row>
    <row r="549">
      <c r="B549" s="37"/>
    </row>
    <row r="550">
      <c r="B550" s="37"/>
    </row>
    <row r="551">
      <c r="B551" s="37"/>
    </row>
    <row r="552">
      <c r="B552" s="37"/>
    </row>
    <row r="553">
      <c r="B553" s="37"/>
    </row>
    <row r="554">
      <c r="B554" s="37"/>
    </row>
    <row r="555">
      <c r="B555" s="37"/>
    </row>
    <row r="556">
      <c r="B556" s="37"/>
    </row>
    <row r="557">
      <c r="B557" s="37"/>
    </row>
    <row r="558">
      <c r="B558" s="37"/>
    </row>
    <row r="559">
      <c r="B559" s="37"/>
    </row>
    <row r="560">
      <c r="B560" s="37"/>
    </row>
    <row r="561">
      <c r="B561" s="37"/>
    </row>
    <row r="562">
      <c r="B562" s="37"/>
    </row>
    <row r="563">
      <c r="B563" s="37"/>
    </row>
    <row r="564">
      <c r="B564" s="37"/>
    </row>
    <row r="565">
      <c r="B565" s="37"/>
    </row>
    <row r="566">
      <c r="B566" s="37"/>
    </row>
    <row r="567">
      <c r="B567" s="37"/>
    </row>
    <row r="568">
      <c r="B568" s="37"/>
    </row>
    <row r="569">
      <c r="B569" s="37"/>
    </row>
    <row r="570">
      <c r="B570" s="37"/>
    </row>
    <row r="571">
      <c r="B571" s="37"/>
    </row>
    <row r="572">
      <c r="B572" s="37"/>
    </row>
    <row r="573">
      <c r="B573" s="37"/>
    </row>
    <row r="574">
      <c r="B574" s="37"/>
    </row>
    <row r="575">
      <c r="B575" s="37"/>
    </row>
    <row r="576">
      <c r="B576" s="37"/>
    </row>
    <row r="577">
      <c r="B577" s="37"/>
    </row>
    <row r="578">
      <c r="B578" s="37"/>
    </row>
    <row r="579">
      <c r="B579" s="37"/>
    </row>
    <row r="580">
      <c r="B580" s="37"/>
    </row>
    <row r="581">
      <c r="B581" s="37"/>
    </row>
    <row r="582">
      <c r="B582" s="37"/>
    </row>
    <row r="583">
      <c r="B583" s="37"/>
    </row>
    <row r="584">
      <c r="B584" s="37"/>
    </row>
    <row r="585">
      <c r="B585" s="37"/>
    </row>
    <row r="586">
      <c r="B586" s="37"/>
    </row>
    <row r="587">
      <c r="B587" s="37"/>
    </row>
    <row r="588">
      <c r="B588" s="37"/>
    </row>
    <row r="589">
      <c r="B589" s="37"/>
    </row>
    <row r="590">
      <c r="B590" s="37"/>
    </row>
    <row r="591">
      <c r="B591" s="37"/>
    </row>
    <row r="592">
      <c r="B592" s="37"/>
    </row>
    <row r="593">
      <c r="B593" s="37"/>
    </row>
    <row r="594">
      <c r="B594" s="37"/>
    </row>
    <row r="595">
      <c r="B595" s="37"/>
    </row>
    <row r="596">
      <c r="B596" s="37"/>
    </row>
    <row r="597">
      <c r="B597" s="37"/>
    </row>
    <row r="598">
      <c r="B598" s="37"/>
    </row>
    <row r="599">
      <c r="B599" s="37"/>
    </row>
    <row r="600">
      <c r="B600" s="37"/>
    </row>
    <row r="601">
      <c r="B601" s="37"/>
    </row>
    <row r="602">
      <c r="B602" s="37"/>
    </row>
    <row r="603">
      <c r="B603" s="37"/>
    </row>
    <row r="604">
      <c r="B604" s="37"/>
    </row>
    <row r="605">
      <c r="B605" s="37"/>
    </row>
    <row r="606">
      <c r="B606" s="37"/>
    </row>
    <row r="607">
      <c r="B607" s="37"/>
    </row>
    <row r="608">
      <c r="B608" s="37"/>
    </row>
    <row r="609">
      <c r="B609" s="37"/>
    </row>
    <row r="610">
      <c r="B610" s="37"/>
    </row>
    <row r="611">
      <c r="B611" s="37"/>
    </row>
    <row r="612">
      <c r="B612" s="37"/>
    </row>
    <row r="613">
      <c r="B613" s="37"/>
    </row>
    <row r="614">
      <c r="B614" s="37"/>
    </row>
    <row r="615">
      <c r="B615" s="37"/>
    </row>
    <row r="616">
      <c r="B616" s="37"/>
    </row>
    <row r="617">
      <c r="B617" s="37"/>
    </row>
    <row r="618">
      <c r="B618" s="37"/>
    </row>
    <row r="619">
      <c r="B619" s="37"/>
    </row>
    <row r="620">
      <c r="B620" s="37"/>
    </row>
    <row r="621">
      <c r="B621" s="37"/>
    </row>
    <row r="622">
      <c r="B622" s="37"/>
    </row>
    <row r="623">
      <c r="B623" s="37"/>
    </row>
    <row r="624">
      <c r="B624" s="37"/>
    </row>
    <row r="625">
      <c r="B625" s="37"/>
    </row>
    <row r="626">
      <c r="B626" s="37"/>
    </row>
    <row r="627">
      <c r="B627" s="37"/>
    </row>
    <row r="628">
      <c r="B628" s="37"/>
    </row>
    <row r="629">
      <c r="B629" s="37"/>
    </row>
    <row r="630">
      <c r="B630" s="37"/>
    </row>
    <row r="631">
      <c r="B631" s="37"/>
    </row>
    <row r="632">
      <c r="B632" s="37"/>
    </row>
    <row r="633">
      <c r="B633" s="37"/>
    </row>
    <row r="634">
      <c r="B634" s="37"/>
    </row>
    <row r="635">
      <c r="B635" s="37"/>
    </row>
    <row r="636">
      <c r="B636" s="37"/>
    </row>
    <row r="637">
      <c r="B637" s="37"/>
    </row>
    <row r="638">
      <c r="B638" s="37"/>
    </row>
    <row r="639">
      <c r="B639" s="37"/>
    </row>
    <row r="640">
      <c r="B640" s="37"/>
    </row>
    <row r="641">
      <c r="B641" s="37"/>
    </row>
    <row r="642">
      <c r="B642" s="37"/>
    </row>
    <row r="643">
      <c r="B643" s="37"/>
    </row>
    <row r="644">
      <c r="B644" s="37"/>
    </row>
    <row r="645">
      <c r="B645" s="37"/>
    </row>
    <row r="646">
      <c r="B646" s="37"/>
    </row>
    <row r="647">
      <c r="B647" s="37"/>
    </row>
    <row r="648">
      <c r="B648" s="37"/>
    </row>
    <row r="649">
      <c r="B649" s="37"/>
    </row>
    <row r="650">
      <c r="B650" s="37"/>
    </row>
    <row r="651">
      <c r="B651" s="37"/>
    </row>
    <row r="652">
      <c r="B652" s="37"/>
    </row>
    <row r="653">
      <c r="B653" s="37"/>
    </row>
    <row r="654">
      <c r="B654" s="37"/>
    </row>
    <row r="655">
      <c r="B655" s="37"/>
    </row>
    <row r="656">
      <c r="B656" s="37"/>
    </row>
    <row r="657">
      <c r="B657" s="37"/>
    </row>
    <row r="658">
      <c r="B658" s="37"/>
    </row>
    <row r="659">
      <c r="B659" s="37"/>
    </row>
    <row r="660">
      <c r="B660" s="37"/>
    </row>
    <row r="661">
      <c r="B661" s="37"/>
    </row>
    <row r="662">
      <c r="B662" s="37"/>
    </row>
    <row r="663">
      <c r="B663" s="37"/>
    </row>
    <row r="664">
      <c r="B664" s="37"/>
    </row>
    <row r="665">
      <c r="B665" s="37"/>
    </row>
    <row r="666">
      <c r="B666" s="37"/>
    </row>
    <row r="667">
      <c r="B667" s="37"/>
    </row>
    <row r="668">
      <c r="B668" s="37"/>
    </row>
    <row r="669">
      <c r="B669" s="37"/>
    </row>
    <row r="670">
      <c r="B670" s="37"/>
    </row>
    <row r="671">
      <c r="B671" s="37"/>
    </row>
    <row r="672">
      <c r="B672" s="37"/>
    </row>
    <row r="673">
      <c r="B673" s="37"/>
    </row>
    <row r="674">
      <c r="B674" s="37"/>
    </row>
    <row r="675">
      <c r="B675" s="37"/>
    </row>
    <row r="676">
      <c r="B676" s="37"/>
    </row>
    <row r="677">
      <c r="B677" s="37"/>
    </row>
    <row r="678">
      <c r="B678" s="37"/>
    </row>
    <row r="679">
      <c r="B679" s="37"/>
    </row>
    <row r="680">
      <c r="B680" s="37"/>
    </row>
    <row r="681">
      <c r="B681" s="37"/>
    </row>
    <row r="682">
      <c r="B682" s="37"/>
    </row>
    <row r="683">
      <c r="B683" s="37"/>
    </row>
    <row r="684">
      <c r="B684" s="37"/>
    </row>
    <row r="685">
      <c r="B685" s="37"/>
    </row>
    <row r="686">
      <c r="B686" s="37"/>
    </row>
    <row r="687">
      <c r="B687" s="37"/>
    </row>
    <row r="688">
      <c r="B688" s="37"/>
    </row>
    <row r="689">
      <c r="B689" s="37"/>
    </row>
    <row r="690">
      <c r="B690" s="37"/>
    </row>
    <row r="691">
      <c r="B691" s="37"/>
    </row>
    <row r="692">
      <c r="B692" s="37"/>
    </row>
    <row r="693">
      <c r="B693" s="37"/>
    </row>
    <row r="694">
      <c r="B694" s="37"/>
    </row>
    <row r="695">
      <c r="B695" s="37"/>
    </row>
    <row r="696">
      <c r="B696" s="37"/>
    </row>
    <row r="697">
      <c r="B697" s="37"/>
    </row>
    <row r="698">
      <c r="B698" s="37"/>
    </row>
    <row r="699">
      <c r="B699" s="37"/>
    </row>
    <row r="700">
      <c r="B700" s="37"/>
    </row>
    <row r="701">
      <c r="B701" s="37"/>
    </row>
    <row r="702">
      <c r="B702" s="37"/>
    </row>
    <row r="703">
      <c r="B703" s="37"/>
    </row>
    <row r="704">
      <c r="B704" s="37"/>
    </row>
    <row r="705">
      <c r="B705" s="37"/>
    </row>
    <row r="706">
      <c r="B706" s="37"/>
    </row>
    <row r="707">
      <c r="B707" s="37"/>
    </row>
    <row r="708">
      <c r="B708" s="37"/>
    </row>
    <row r="709">
      <c r="B709" s="37"/>
    </row>
    <row r="710">
      <c r="B710" s="37"/>
    </row>
    <row r="711">
      <c r="B711" s="37"/>
    </row>
    <row r="712">
      <c r="B712" s="37"/>
    </row>
    <row r="713">
      <c r="B713" s="37"/>
    </row>
    <row r="714">
      <c r="B714" s="37"/>
    </row>
    <row r="715">
      <c r="B715" s="37"/>
    </row>
    <row r="716">
      <c r="B716" s="37"/>
    </row>
    <row r="717">
      <c r="B717" s="37"/>
    </row>
    <row r="718">
      <c r="B718" s="37"/>
    </row>
    <row r="719">
      <c r="B719" s="37"/>
    </row>
    <row r="720">
      <c r="B720" s="37"/>
    </row>
    <row r="721">
      <c r="B721" s="37"/>
    </row>
    <row r="722">
      <c r="B722" s="37"/>
    </row>
    <row r="723">
      <c r="B723" s="37"/>
    </row>
    <row r="724">
      <c r="B724" s="37"/>
    </row>
    <row r="725">
      <c r="B725" s="37"/>
    </row>
    <row r="726">
      <c r="B726" s="37"/>
    </row>
    <row r="727">
      <c r="B727" s="37"/>
    </row>
    <row r="728">
      <c r="B728" s="37"/>
    </row>
    <row r="729">
      <c r="B729" s="37"/>
    </row>
    <row r="730">
      <c r="B730" s="37"/>
    </row>
    <row r="731">
      <c r="B731" s="37"/>
    </row>
    <row r="732">
      <c r="B732" s="37"/>
    </row>
    <row r="733">
      <c r="B733" s="37"/>
    </row>
    <row r="734">
      <c r="B734" s="37"/>
    </row>
    <row r="735">
      <c r="B735" s="37"/>
    </row>
    <row r="736">
      <c r="B736" s="37"/>
    </row>
    <row r="737">
      <c r="B737" s="37"/>
    </row>
    <row r="738">
      <c r="B738" s="37"/>
    </row>
    <row r="739">
      <c r="B739" s="37"/>
    </row>
    <row r="740">
      <c r="B740" s="37"/>
    </row>
    <row r="741">
      <c r="B741" s="37"/>
    </row>
    <row r="742">
      <c r="B742" s="37"/>
    </row>
    <row r="743">
      <c r="B743" s="37"/>
    </row>
    <row r="744">
      <c r="B744" s="37"/>
    </row>
    <row r="745">
      <c r="B745" s="37"/>
    </row>
    <row r="746">
      <c r="B746" s="37"/>
    </row>
    <row r="747">
      <c r="B747" s="37"/>
    </row>
    <row r="748">
      <c r="B748" s="37"/>
    </row>
    <row r="749">
      <c r="B749" s="37"/>
    </row>
    <row r="750">
      <c r="B750" s="37"/>
    </row>
    <row r="751">
      <c r="B751" s="37"/>
    </row>
    <row r="752">
      <c r="B752" s="37"/>
    </row>
    <row r="753">
      <c r="B753" s="37"/>
    </row>
    <row r="754">
      <c r="B754" s="37"/>
    </row>
    <row r="755">
      <c r="B755" s="37"/>
    </row>
    <row r="756">
      <c r="B756" s="37"/>
    </row>
    <row r="757">
      <c r="B757" s="37"/>
    </row>
    <row r="758">
      <c r="B758" s="37"/>
    </row>
    <row r="759">
      <c r="B759" s="37"/>
    </row>
    <row r="760">
      <c r="B760" s="37"/>
    </row>
    <row r="761">
      <c r="B761" s="37"/>
    </row>
    <row r="762">
      <c r="B762" s="37"/>
    </row>
    <row r="763">
      <c r="B763" s="37"/>
    </row>
    <row r="764">
      <c r="B764" s="37"/>
    </row>
    <row r="765">
      <c r="B765" s="37"/>
    </row>
    <row r="766">
      <c r="B766" s="37"/>
    </row>
    <row r="767">
      <c r="B767" s="37"/>
    </row>
    <row r="768">
      <c r="B768" s="37"/>
    </row>
    <row r="769">
      <c r="B769" s="37"/>
    </row>
    <row r="770">
      <c r="B770" s="37"/>
    </row>
    <row r="771">
      <c r="B771" s="37"/>
    </row>
    <row r="772">
      <c r="B772" s="37"/>
    </row>
    <row r="773">
      <c r="B773" s="37"/>
    </row>
    <row r="774">
      <c r="B774" s="37"/>
    </row>
    <row r="775">
      <c r="B775" s="37"/>
    </row>
    <row r="776">
      <c r="B776" s="37"/>
    </row>
    <row r="777">
      <c r="B777" s="37"/>
    </row>
    <row r="778">
      <c r="B778" s="37"/>
    </row>
    <row r="779">
      <c r="B779" s="37"/>
    </row>
    <row r="780">
      <c r="B780" s="37"/>
    </row>
    <row r="781">
      <c r="B781" s="37"/>
    </row>
    <row r="782">
      <c r="B782" s="37"/>
    </row>
    <row r="783">
      <c r="B783" s="37"/>
    </row>
    <row r="784">
      <c r="B784" s="37"/>
    </row>
    <row r="785">
      <c r="B785" s="37"/>
    </row>
    <row r="786">
      <c r="B786" s="37"/>
    </row>
    <row r="787">
      <c r="B787" s="37"/>
    </row>
    <row r="788">
      <c r="B788" s="37"/>
    </row>
    <row r="789">
      <c r="B789" s="37"/>
    </row>
    <row r="790">
      <c r="B790" s="37"/>
    </row>
    <row r="791">
      <c r="B791" s="37"/>
    </row>
    <row r="792">
      <c r="B792" s="37"/>
    </row>
    <row r="793">
      <c r="B793" s="37"/>
    </row>
    <row r="794">
      <c r="B794" s="37"/>
    </row>
    <row r="795">
      <c r="B795" s="37"/>
    </row>
    <row r="796">
      <c r="B796" s="37"/>
    </row>
    <row r="797">
      <c r="B797" s="37"/>
    </row>
    <row r="798">
      <c r="B798" s="37"/>
    </row>
    <row r="799">
      <c r="B799" s="37"/>
    </row>
    <row r="800">
      <c r="B800" s="37"/>
    </row>
    <row r="801">
      <c r="B801" s="37"/>
    </row>
    <row r="802">
      <c r="B802" s="37"/>
    </row>
    <row r="803">
      <c r="B803" s="37"/>
    </row>
    <row r="804">
      <c r="B804" s="37"/>
    </row>
    <row r="805">
      <c r="B805" s="37"/>
    </row>
    <row r="806">
      <c r="B806" s="37"/>
    </row>
    <row r="807">
      <c r="B807" s="37"/>
    </row>
    <row r="808">
      <c r="B808" s="37"/>
    </row>
    <row r="809">
      <c r="B809" s="37"/>
    </row>
    <row r="810">
      <c r="B810" s="37"/>
    </row>
    <row r="811">
      <c r="B811" s="37"/>
    </row>
    <row r="812">
      <c r="B812" s="37"/>
    </row>
    <row r="813">
      <c r="B813" s="37"/>
    </row>
    <row r="814">
      <c r="B814" s="37"/>
    </row>
    <row r="815">
      <c r="B815" s="37"/>
    </row>
    <row r="816">
      <c r="B816" s="37"/>
    </row>
    <row r="817">
      <c r="B817" s="37"/>
    </row>
    <row r="818">
      <c r="B818" s="37"/>
    </row>
    <row r="819">
      <c r="B819" s="37"/>
    </row>
    <row r="820">
      <c r="B820" s="37"/>
    </row>
    <row r="821">
      <c r="B821" s="37"/>
    </row>
    <row r="822">
      <c r="B822" s="37"/>
    </row>
    <row r="823">
      <c r="B823" s="37"/>
    </row>
    <row r="824">
      <c r="B824" s="37"/>
    </row>
    <row r="825">
      <c r="B825" s="37"/>
    </row>
    <row r="826">
      <c r="B826" s="37"/>
    </row>
    <row r="827">
      <c r="B827" s="37"/>
    </row>
    <row r="828">
      <c r="B828" s="37"/>
    </row>
    <row r="829">
      <c r="B829" s="37"/>
    </row>
    <row r="830">
      <c r="B830" s="37"/>
    </row>
    <row r="831">
      <c r="B831" s="37"/>
    </row>
    <row r="832">
      <c r="B832" s="37"/>
    </row>
    <row r="833">
      <c r="B833" s="37"/>
    </row>
    <row r="834">
      <c r="B834" s="37"/>
    </row>
    <row r="835">
      <c r="B835" s="37"/>
    </row>
    <row r="836">
      <c r="B836" s="37"/>
    </row>
    <row r="837">
      <c r="B837" s="37"/>
    </row>
    <row r="838">
      <c r="B838" s="37"/>
    </row>
    <row r="839">
      <c r="B839" s="37"/>
    </row>
    <row r="840">
      <c r="B840" s="37"/>
    </row>
    <row r="841">
      <c r="B841" s="37"/>
    </row>
    <row r="842">
      <c r="B842" s="37"/>
    </row>
    <row r="843">
      <c r="B843" s="37"/>
    </row>
    <row r="844">
      <c r="B844" s="37"/>
    </row>
    <row r="845">
      <c r="B845" s="37"/>
    </row>
    <row r="846">
      <c r="B846" s="37"/>
    </row>
    <row r="847">
      <c r="B847" s="37"/>
    </row>
    <row r="848">
      <c r="B848" s="37"/>
    </row>
    <row r="849">
      <c r="B849" s="37"/>
    </row>
    <row r="850">
      <c r="B850" s="37"/>
    </row>
    <row r="851">
      <c r="B851" s="37"/>
    </row>
    <row r="852">
      <c r="B852" s="37"/>
    </row>
    <row r="853">
      <c r="B853" s="37"/>
    </row>
    <row r="854">
      <c r="B854" s="37"/>
    </row>
    <row r="855">
      <c r="B855" s="37"/>
    </row>
    <row r="856">
      <c r="B856" s="37"/>
    </row>
    <row r="857">
      <c r="B857" s="37"/>
    </row>
    <row r="858">
      <c r="B858" s="37"/>
    </row>
    <row r="859">
      <c r="B859" s="37"/>
    </row>
    <row r="860">
      <c r="B860" s="37"/>
    </row>
    <row r="861">
      <c r="B861" s="37"/>
    </row>
    <row r="862">
      <c r="B862" s="37"/>
    </row>
    <row r="863">
      <c r="B863" s="37"/>
    </row>
    <row r="864">
      <c r="B864" s="37"/>
    </row>
    <row r="865">
      <c r="B865" s="37"/>
    </row>
    <row r="866">
      <c r="B866" s="37"/>
    </row>
    <row r="867">
      <c r="B867" s="37"/>
    </row>
    <row r="868">
      <c r="B868" s="37"/>
    </row>
    <row r="869">
      <c r="B869" s="37"/>
    </row>
    <row r="870">
      <c r="B870" s="37"/>
    </row>
    <row r="871">
      <c r="B871" s="37"/>
    </row>
    <row r="872">
      <c r="B872" s="37"/>
    </row>
    <row r="873">
      <c r="B873" s="37"/>
    </row>
    <row r="874">
      <c r="B874" s="37"/>
    </row>
    <row r="875">
      <c r="B875" s="37"/>
    </row>
    <row r="876">
      <c r="B876" s="37"/>
    </row>
    <row r="877">
      <c r="B877" s="37"/>
    </row>
    <row r="878">
      <c r="B878" s="37"/>
    </row>
    <row r="879">
      <c r="B879" s="37"/>
    </row>
    <row r="880">
      <c r="B880" s="37"/>
    </row>
    <row r="881">
      <c r="B881" s="37"/>
    </row>
    <row r="882">
      <c r="B882" s="37"/>
    </row>
    <row r="883">
      <c r="B883" s="37"/>
    </row>
    <row r="884">
      <c r="B884" s="37"/>
    </row>
    <row r="885">
      <c r="B885" s="37"/>
    </row>
    <row r="886">
      <c r="B886" s="37"/>
    </row>
    <row r="887">
      <c r="B887" s="37"/>
    </row>
    <row r="888">
      <c r="B888" s="37"/>
    </row>
    <row r="889">
      <c r="B889" s="37"/>
    </row>
    <row r="890">
      <c r="B890" s="37"/>
    </row>
    <row r="891">
      <c r="B891" s="37"/>
    </row>
    <row r="892">
      <c r="B892" s="37"/>
    </row>
    <row r="893">
      <c r="B893" s="37"/>
    </row>
    <row r="894">
      <c r="B894" s="37"/>
    </row>
    <row r="895">
      <c r="B895" s="37"/>
    </row>
    <row r="896">
      <c r="B896" s="37"/>
    </row>
    <row r="897">
      <c r="B897" s="37"/>
    </row>
    <row r="898">
      <c r="B898" s="37"/>
    </row>
    <row r="899">
      <c r="B899" s="37"/>
    </row>
    <row r="900">
      <c r="B900" s="37"/>
    </row>
    <row r="901">
      <c r="B901" s="37"/>
    </row>
    <row r="902">
      <c r="B902" s="37"/>
    </row>
    <row r="903">
      <c r="B903" s="37"/>
    </row>
    <row r="904">
      <c r="B904" s="37"/>
    </row>
    <row r="905">
      <c r="B905" s="37"/>
    </row>
    <row r="906">
      <c r="B906" s="37"/>
    </row>
    <row r="907">
      <c r="B907" s="37"/>
    </row>
    <row r="908">
      <c r="B908" s="37"/>
    </row>
    <row r="909">
      <c r="B909" s="37"/>
    </row>
    <row r="910">
      <c r="B910" s="37"/>
    </row>
    <row r="911">
      <c r="B911" s="37"/>
    </row>
    <row r="912">
      <c r="B912" s="37"/>
    </row>
    <row r="913">
      <c r="B913" s="37"/>
    </row>
    <row r="914">
      <c r="B914" s="37"/>
    </row>
    <row r="915">
      <c r="B915" s="37"/>
    </row>
    <row r="916">
      <c r="B916" s="37"/>
    </row>
    <row r="917">
      <c r="B917" s="37"/>
    </row>
    <row r="918">
      <c r="B918" s="37"/>
    </row>
    <row r="919">
      <c r="B919" s="37"/>
    </row>
    <row r="920">
      <c r="B920" s="37"/>
    </row>
    <row r="921">
      <c r="B921" s="37"/>
    </row>
    <row r="922">
      <c r="B922" s="37"/>
    </row>
    <row r="923">
      <c r="B923" s="37"/>
    </row>
    <row r="924">
      <c r="B924" s="37"/>
    </row>
    <row r="925">
      <c r="B925" s="37"/>
    </row>
    <row r="926">
      <c r="B926" s="37"/>
    </row>
    <row r="927">
      <c r="B927" s="37"/>
    </row>
    <row r="928">
      <c r="B928" s="37"/>
    </row>
    <row r="929">
      <c r="B929" s="37"/>
    </row>
    <row r="930">
      <c r="B930" s="37"/>
    </row>
    <row r="931">
      <c r="B931" s="37"/>
    </row>
    <row r="932">
      <c r="B932" s="37"/>
    </row>
    <row r="933">
      <c r="B933" s="37"/>
    </row>
    <row r="934">
      <c r="B934" s="37"/>
    </row>
    <row r="935">
      <c r="B935" s="37"/>
    </row>
    <row r="936">
      <c r="B936" s="37"/>
    </row>
    <row r="937">
      <c r="B937" s="37"/>
    </row>
    <row r="938">
      <c r="B938" s="37"/>
    </row>
    <row r="939">
      <c r="B939" s="37"/>
    </row>
    <row r="940">
      <c r="B940" s="37"/>
    </row>
    <row r="941">
      <c r="B941" s="37"/>
    </row>
    <row r="942">
      <c r="B942" s="37"/>
    </row>
    <row r="943">
      <c r="B943" s="37"/>
    </row>
    <row r="944">
      <c r="B944" s="37"/>
    </row>
    <row r="945">
      <c r="B945" s="37"/>
    </row>
    <row r="946">
      <c r="B946" s="37"/>
    </row>
    <row r="947">
      <c r="B947" s="37"/>
    </row>
    <row r="948">
      <c r="B948" s="37"/>
    </row>
    <row r="949">
      <c r="B949" s="37"/>
    </row>
    <row r="950">
      <c r="B950" s="37"/>
    </row>
    <row r="951">
      <c r="B951" s="37"/>
    </row>
    <row r="952">
      <c r="B952" s="37"/>
    </row>
    <row r="953">
      <c r="B953" s="37"/>
    </row>
    <row r="954">
      <c r="B954" s="37"/>
    </row>
    <row r="955">
      <c r="B955" s="37"/>
    </row>
    <row r="956">
      <c r="B956" s="37"/>
    </row>
    <row r="957">
      <c r="B957" s="37"/>
    </row>
    <row r="958">
      <c r="B958" s="37"/>
    </row>
    <row r="959">
      <c r="B959" s="37"/>
    </row>
    <row r="960">
      <c r="B960" s="37"/>
    </row>
    <row r="961">
      <c r="B961" s="37"/>
    </row>
    <row r="962">
      <c r="B962" s="37"/>
    </row>
    <row r="963">
      <c r="B963" s="37"/>
    </row>
    <row r="964">
      <c r="B964" s="37"/>
    </row>
    <row r="965">
      <c r="B965" s="37"/>
    </row>
    <row r="966">
      <c r="B966" s="37"/>
    </row>
    <row r="967">
      <c r="B967" s="37"/>
    </row>
    <row r="968">
      <c r="B968" s="37"/>
    </row>
    <row r="969">
      <c r="B969" s="37"/>
    </row>
    <row r="970">
      <c r="B970" s="37"/>
    </row>
    <row r="971">
      <c r="B971" s="37"/>
    </row>
    <row r="972">
      <c r="B972" s="37"/>
    </row>
    <row r="973">
      <c r="B973" s="37"/>
    </row>
    <row r="974">
      <c r="B974" s="37"/>
    </row>
    <row r="975">
      <c r="B975" s="37"/>
    </row>
    <row r="976">
      <c r="B976" s="37"/>
    </row>
    <row r="977">
      <c r="B977" s="37"/>
    </row>
    <row r="978">
      <c r="B978" s="37"/>
    </row>
    <row r="979">
      <c r="B979" s="37"/>
    </row>
    <row r="980">
      <c r="B980" s="37"/>
    </row>
    <row r="981">
      <c r="B981" s="37"/>
    </row>
    <row r="982">
      <c r="B982" s="37"/>
    </row>
    <row r="983">
      <c r="B983" s="37"/>
    </row>
    <row r="984">
      <c r="B984" s="37"/>
    </row>
    <row r="985">
      <c r="B985" s="37"/>
    </row>
    <row r="986">
      <c r="B986" s="37"/>
    </row>
    <row r="987">
      <c r="B987" s="37"/>
    </row>
    <row r="988">
      <c r="B988" s="37"/>
    </row>
    <row r="989">
      <c r="B989" s="37"/>
    </row>
    <row r="990">
      <c r="B990" s="37"/>
    </row>
    <row r="991">
      <c r="B991" s="37"/>
    </row>
    <row r="992">
      <c r="B992" s="37"/>
    </row>
    <row r="993">
      <c r="B993" s="37"/>
    </row>
    <row r="994">
      <c r="B994" s="37"/>
    </row>
    <row r="995">
      <c r="B995" s="37"/>
    </row>
    <row r="996">
      <c r="B996" s="37"/>
    </row>
    <row r="997">
      <c r="B997" s="37"/>
    </row>
    <row r="998">
      <c r="B998" s="37"/>
    </row>
  </sheetData>
  <mergeCells count="18">
    <mergeCell ref="B1:D1"/>
    <mergeCell ref="F1:H1"/>
    <mergeCell ref="B9:D9"/>
    <mergeCell ref="B10:D10"/>
    <mergeCell ref="F10:H10"/>
    <mergeCell ref="J12:L12"/>
    <mergeCell ref="B20:D20"/>
    <mergeCell ref="F53:H53"/>
    <mergeCell ref="F54:H54"/>
    <mergeCell ref="B63:D63"/>
    <mergeCell ref="F63:H63"/>
    <mergeCell ref="F20:H20"/>
    <mergeCell ref="J22:L22"/>
    <mergeCell ref="B30:D30"/>
    <mergeCell ref="F30:H30"/>
    <mergeCell ref="B44:D44"/>
    <mergeCell ref="F44:H44"/>
    <mergeCell ref="B54:D5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5"/>
  </cols>
  <sheetData>
    <row r="1">
      <c r="A1" s="86" t="s">
        <v>145</v>
      </c>
      <c r="B1" s="86" t="s">
        <v>146</v>
      </c>
      <c r="C1" s="86" t="s">
        <v>0</v>
      </c>
      <c r="D1" s="86" t="s">
        <v>147</v>
      </c>
      <c r="E1" s="86" t="s">
        <v>31</v>
      </c>
      <c r="F1" s="86" t="s">
        <v>40</v>
      </c>
      <c r="G1" s="86" t="s">
        <v>60</v>
      </c>
      <c r="H1" s="87" t="s">
        <v>72</v>
      </c>
      <c r="I1" s="86" t="s">
        <v>1</v>
      </c>
      <c r="J1" s="86" t="s">
        <v>19</v>
      </c>
      <c r="K1" s="86" t="s">
        <v>32</v>
      </c>
      <c r="L1" s="86" t="s">
        <v>45</v>
      </c>
      <c r="M1" s="86" t="s">
        <v>61</v>
      </c>
      <c r="N1" s="86" t="s">
        <v>73</v>
      </c>
      <c r="O1" s="87" t="s">
        <v>118</v>
      </c>
    </row>
    <row r="2">
      <c r="A2" s="88" t="s">
        <v>148</v>
      </c>
      <c r="B2" s="88" t="str">
        <f>IFERROR(__xludf.DUMMYFUNCTION("UNIQUE(
  VSTACK(
    FILTER(
      Janeiro26!B1:B988,
      Janeiro26!B1:B988&lt;&gt;"""",
      SCAN(
        0,
        Janeiro26!B1:B988,
        LAMBDA(acc,x, acc + N(LOWER(TRIM(x))=""tipo"") - N(LOWER(TRIM(x))=""total""))
      )&gt;0,
      LOWER(TRIM(Janei"&amp;"ro26!B1:B988))&lt;&gt;""tipo""
    ),
    FILTER(
      Janeiro26!F1:F988,
      Janeiro26!F1:F988&lt;&gt;"""",
      SCAN(
        0,
        Janeiro26!F1:F988,
        LAMBDA(acc,x, acc + N(LOWER(TRIM(x))=""tipo"") - N(LOWER(TRIM(x))=""total""))
      )&gt;0,
      LO"&amp;"WER(TRIM(Janeiro26!F1:F988))&lt;&gt;""tipo""
    )
  )
)"),"#REF!")</f>
        <v>#REF!</v>
      </c>
      <c r="C2" s="89">
        <f t="array" ref="C2">IFNA(
  LET(
    colaborador, TRIM(C$1),
    tipo, TRIM($B2),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D2" s="89">
        <f t="array" ref="D2">IFNA(
  LET(
    colaborador, TRIM(D$1),
    tipo, TRIM($B2),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2" s="89">
        <f t="array" ref="E2">IFNA(
  LET(
    colaborador, TRIM(E$1),
    tipo, TRIM($B2),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2" s="89">
        <f t="array" ref="F2">IFNA(
  LET(
    colaborador, TRIM(F$1),
    tipo, TRIM($B2),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G2" s="88">
        <f t="array" ref="G2">IFNA(
  LET(
    colaborador, TRIM(G$1),
    tipo, TRIM($B2),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H2" s="88">
        <f t="array" ref="H2">IFNA(
  LET(
    colaborador, TRIM(H$1),
    tipo, TRIM($B2),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I2" s="88">
        <f t="array" ref="I2">IFNA(
  LET(
    colaborador, TRIM(I$1),
    tipo, TRIM($B2),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  <c r="J2" s="89">
        <f t="array" ref="J2">IFNA(
  LET(
    colaborador, TRIM(J$1),
    tipo, TRIM($B2),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  <c r="K2" s="89">
        <f t="array" ref="K2">IFNA(
  LET(
    colaborador, TRIM(K$1),
    tipo, TRIM($B2),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  <c r="L2" s="89">
        <f t="array" ref="L2">IFNA(
  LET(
    colaborador, TRIM(L$1),
    tipo, TRIM($B2),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  <c r="M2" s="89">
        <f t="array" ref="M2">IFNA(
  LET(
    colaborador, TRIM(M$1),
    tipo, TRIM($B2),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  <c r="N2" s="88">
        <f t="array" ref="N2">IFNA(
  LET(
    colaborador, TRIM(N$1),
    tipo, TRIM($B2),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  <c r="O2" s="88">
        <f t="array" ref="O2">IFNA(
  LET(
    colaborador, TRIM(O$1),
    tipo, TRIM($B2),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3">
      <c r="A3" s="88" t="s">
        <v>148</v>
      </c>
      <c r="B3" s="88"/>
      <c r="C3" s="89" t="str">
        <f t="array" ref="C3">IFNA(
  LET(
    colaborador, TRIM(C$1),
    tipo, TRIM($B3),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3" s="88">
        <f t="array" ref="D3">IFNA(
  LET(
    colaborador, TRIM(D$1),
    tipo, TRIM($B3),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3" s="89">
        <f t="array" ref="E3">IFNA(
  LET(
    colaborador, TRIM(E$1),
    tipo, TRIM($B3),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3" s="89" t="str">
        <f t="array" ref="F3">IFNA(
  LET(
    colaborador, TRIM(F$1),
    tipo, TRIM($B3),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3" s="88" t="str">
        <f t="array" ref="G3">IFNA(
  LET(
    colaborador, TRIM(G$1),
    tipo, TRIM($B3),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3" s="88" t="str">
        <f t="array" ref="H3">IFNA(
  LET(
    colaborador, TRIM(H$1),
    tipo, TRIM($B3),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3" s="88" t="str">
        <f t="array" ref="I3">IFNA(
  LET(
    colaborador, TRIM(I$1),
    tipo, TRIM($B3),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3" s="89" t="str">
        <f t="array" ref="J3">IFNA(
  LET(
    colaborador, TRIM(J$1),
    tipo, TRIM($B3),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3" s="88" t="str">
        <f t="array" ref="K3">IFNA(
  LET(
    colaborador, TRIM(K$1),
    tipo, TRIM($B3),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3" s="89" t="str">
        <f t="array" ref="L3">IFNA(
  LET(
    colaborador, TRIM(L$1),
    tipo, TRIM($B3),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3" s="89" t="str">
        <f t="array" ref="M3">IFNA(
  LET(
    colaborador, TRIM(M$1),
    tipo, TRIM($B3),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3" s="88" t="str">
        <f t="array" ref="N3">IFNA(
  LET(
    colaborador, TRIM(N$1),
    tipo, TRIM($B3),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3" s="88">
        <f t="array" ref="O3">IFNA(
  LET(
    colaborador, TRIM(O$1),
    tipo, TRIM($B3),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4">
      <c r="A4" s="88" t="s">
        <v>148</v>
      </c>
      <c r="B4" s="88"/>
      <c r="C4" s="89" t="str">
        <f t="array" ref="C4">IFNA(
  LET(
    colaborador, TRIM(C$1),
    tipo, TRIM($B4),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4" s="89">
        <f t="array" ref="D4">IFNA(
  LET(
    colaborador, TRIM(D$1),
    tipo, TRIM($B4),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4" s="89">
        <f t="array" ref="E4">IFNA(
  LET(
    colaborador, TRIM(E$1),
    tipo, TRIM($B4),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4" s="89" t="str">
        <f t="array" ref="F4">IFNA(
  LET(
    colaborador, TRIM(F$1),
    tipo, TRIM($B4),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4" s="89" t="str">
        <f t="array" ref="G4">IFNA(
  LET(
    colaborador, TRIM(G$1),
    tipo, TRIM($B4),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4" s="88" t="str">
        <f t="array" ref="H4">IFNA(
  LET(
    colaborador, TRIM(H$1),
    tipo, TRIM($B4),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4" s="89" t="str">
        <f t="array" ref="I4">IFNA(
  LET(
    colaborador, TRIM(I$1),
    tipo, TRIM($B4),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4" s="89" t="str">
        <f t="array" ref="J4">IFNA(
  LET(
    colaborador, TRIM(J$1),
    tipo, TRIM($B4),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4" s="89" t="str">
        <f t="array" ref="K4">IFNA(
  LET(
    colaborador, TRIM(K$1),
    tipo, TRIM($B4),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4" s="89" t="str">
        <f t="array" ref="L4">IFNA(
  LET(
    colaborador, TRIM(L$1),
    tipo, TRIM($B4),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4" s="89" t="str">
        <f t="array" ref="M4">IFNA(
  LET(
    colaborador, TRIM(M$1),
    tipo, TRIM($B4),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4" s="89" t="str">
        <f t="array" ref="N4">IFNA(
  LET(
    colaborador, TRIM(N$1),
    tipo, TRIM($B4),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4" s="89">
        <f t="array" ref="O4">IFNA(
  LET(
    colaborador, TRIM(O$1),
    tipo, TRIM($B4),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5">
      <c r="A5" s="88" t="s">
        <v>148</v>
      </c>
      <c r="B5" s="88"/>
      <c r="C5" s="89" t="str">
        <f t="array" ref="C5">IFNA(
  LET(
    colaborador, TRIM(C$1),
    tipo, TRIM($B5),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5" s="89">
        <f t="array" ref="D5">IFNA(
  LET(
    colaborador, TRIM(D$1),
    tipo, TRIM($B5),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5" s="89">
        <f t="array" ref="E5">IFNA(
  LET(
    colaborador, TRIM(E$1),
    tipo, TRIM($B5),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5" s="89" t="str">
        <f t="array" ref="F5">IFNA(
  LET(
    colaborador, TRIM(F$1),
    tipo, TRIM($B5),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5" s="89" t="str">
        <f t="array" ref="G5">IFNA(
  LET(
    colaborador, TRIM(G$1),
    tipo, TRIM($B5),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5" s="88" t="str">
        <f t="array" ref="H5">IFNA(
  LET(
    colaborador, TRIM(H$1),
    tipo, TRIM($B5),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5" s="89" t="str">
        <f t="array" ref="I5">IFNA(
  LET(
    colaborador, TRIM(I$1),
    tipo, TRIM($B5),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5" s="89" t="str">
        <f t="array" ref="J5">IFNA(
  LET(
    colaborador, TRIM(J$1),
    tipo, TRIM($B5),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5" s="89" t="str">
        <f t="array" ref="K5">IFNA(
  LET(
    colaborador, TRIM(K$1),
    tipo, TRIM($B5),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5" s="89" t="str">
        <f t="array" ref="L5">IFNA(
  LET(
    colaborador, TRIM(L$1),
    tipo, TRIM($B5),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5" s="89" t="str">
        <f t="array" ref="M5">IFNA(
  LET(
    colaborador, TRIM(M$1),
    tipo, TRIM($B5),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5" s="89" t="str">
        <f t="array" ref="N5">IFNA(
  LET(
    colaborador, TRIM(N$1),
    tipo, TRIM($B5),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5" s="89">
        <f t="array" ref="O5">IFNA(
  LET(
    colaborador, TRIM(O$1),
    tipo, TRIM($B5),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6">
      <c r="A6" s="88" t="s">
        <v>148</v>
      </c>
      <c r="B6" s="88"/>
      <c r="C6" s="89" t="str">
        <f t="array" ref="C6">IFNA(
  LET(
    colaborador, TRIM(C$1),
    tipo, TRIM($B6),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6" s="89">
        <f t="array" ref="D6">IFNA(
  LET(
    colaborador, TRIM(D$1),
    tipo, TRIM($B6),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6" s="89">
        <f t="array" ref="E6">IFNA(
  LET(
    colaborador, TRIM(E$1),
    tipo, TRIM($B6),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6" s="88" t="str">
        <f t="array" ref="F6">IFNA(
  LET(
    colaborador, TRIM(F$1),
    tipo, TRIM($B6),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6" s="89" t="str">
        <f t="array" ref="G6">IFNA(
  LET(
    colaborador, TRIM(G$1),
    tipo, TRIM($B6),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6" s="88" t="str">
        <f t="array" ref="H6">IFNA(
  LET(
    colaborador, TRIM(H$1),
    tipo, TRIM($B6),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6" s="89" t="str">
        <f t="array" ref="I6">IFNA(
  LET(
    colaborador, TRIM(I$1),
    tipo, TRIM($B6),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6" s="89" t="str">
        <f t="array" ref="J6">IFNA(
  LET(
    colaborador, TRIM(J$1),
    tipo, TRIM($B6),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6" s="89" t="str">
        <f t="array" ref="K6">IFNA(
  LET(
    colaborador, TRIM(K$1),
    tipo, TRIM($B6),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6" s="89" t="str">
        <f t="array" ref="L6">IFNA(
  LET(
    colaborador, TRIM(L$1),
    tipo, TRIM($B6),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6" s="89" t="str">
        <f t="array" ref="M6">IFNA(
  LET(
    colaborador, TRIM(M$1),
    tipo, TRIM($B6),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6" s="89" t="str">
        <f t="array" ref="N6">IFNA(
  LET(
    colaborador, TRIM(N$1),
    tipo, TRIM($B6),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6" s="89">
        <f t="array" ref="O6">IFNA(
  LET(
    colaborador, TRIM(O$1),
    tipo, TRIM($B6),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7">
      <c r="A7" s="88" t="s">
        <v>148</v>
      </c>
      <c r="B7" s="88"/>
      <c r="C7" s="89" t="str">
        <f t="array" ref="C7">IFNA(
  LET(
    colaborador, TRIM(C$1),
    tipo, TRIM($B7),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7" s="89">
        <f t="array" ref="D7">IFNA(
  LET(
    colaborador, TRIM(D$1),
    tipo, TRIM($B7),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7" s="89">
        <f t="array" ref="E7">IFNA(
  LET(
    colaborador, TRIM(E$1),
    tipo, TRIM($B7),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7" s="89" t="str">
        <f t="array" ref="F7">IFNA(
  LET(
    colaborador, TRIM(F$1),
    tipo, TRIM($B7),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7" s="89" t="str">
        <f t="array" ref="G7">IFNA(
  LET(
    colaborador, TRIM(G$1),
    tipo, TRIM($B7),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7" s="88" t="str">
        <f t="array" ref="H7">IFNA(
  LET(
    colaborador, TRIM(H$1),
    tipo, TRIM($B7),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7" s="89" t="str">
        <f t="array" ref="I7">IFNA(
  LET(
    colaborador, TRIM(I$1),
    tipo, TRIM($B7),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7" s="89" t="str">
        <f t="array" ref="J7">IFNA(
  LET(
    colaborador, TRIM(J$1),
    tipo, TRIM($B7),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7" s="89" t="str">
        <f t="array" ref="K7">IFNA(
  LET(
    colaborador, TRIM(K$1),
    tipo, TRIM($B7),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7" s="89" t="str">
        <f t="array" ref="L7">IFNA(
  LET(
    colaborador, TRIM(L$1),
    tipo, TRIM($B7),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7" s="89" t="str">
        <f t="array" ref="M7">IFNA(
  LET(
    colaborador, TRIM(M$1),
    tipo, TRIM($B7),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7" s="89" t="str">
        <f t="array" ref="N7">IFNA(
  LET(
    colaborador, TRIM(N$1),
    tipo, TRIM($B7),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7" s="89">
        <f t="array" ref="O7">IFNA(
  LET(
    colaborador, TRIM(O$1),
    tipo, TRIM($B7),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8">
      <c r="A8" s="88" t="s">
        <v>148</v>
      </c>
      <c r="B8" s="88"/>
      <c r="C8" s="89" t="str">
        <f t="array" ref="C8">IFNA(
  LET(
    colaborador, TRIM(C$1),
    tipo, TRIM($B8),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8" s="89">
        <f t="array" ref="D8">IFNA(
  LET(
    colaborador, TRIM(D$1),
    tipo, TRIM($B8),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8" s="89">
        <f t="array" ref="E8">IFNA(
  LET(
    colaborador, TRIM(E$1),
    tipo, TRIM($B8),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8" s="89" t="str">
        <f t="array" ref="F8">IFNA(
  LET(
    colaborador, TRIM(F$1),
    tipo, TRIM($B8),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8" s="89" t="str">
        <f t="array" ref="G8">IFNA(
  LET(
    colaborador, TRIM(G$1),
    tipo, TRIM($B8),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8" s="88" t="str">
        <f t="array" ref="H8">IFNA(
  LET(
    colaborador, TRIM(H$1),
    tipo, TRIM($B8),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8" s="89" t="str">
        <f t="array" ref="I8">IFNA(
  LET(
    colaborador, TRIM(I$1),
    tipo, TRIM($B8),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8" s="89" t="str">
        <f t="array" ref="J8">IFNA(
  LET(
    colaborador, TRIM(J$1),
    tipo, TRIM($B8),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8" s="89" t="str">
        <f t="array" ref="K8">IFNA(
  LET(
    colaborador, TRIM(K$1),
    tipo, TRIM($B8),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8" s="89" t="str">
        <f t="array" ref="L8">IFNA(
  LET(
    colaborador, TRIM(L$1),
    tipo, TRIM($B8),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8" s="89" t="str">
        <f t="array" ref="M8">IFNA(
  LET(
    colaborador, TRIM(M$1),
    tipo, TRIM($B8),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8" s="89" t="str">
        <f t="array" ref="N8">IFNA(
  LET(
    colaborador, TRIM(N$1),
    tipo, TRIM($B8),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8" s="89">
        <f t="array" ref="O8">IFNA(
  LET(
    colaborador, TRIM(O$1),
    tipo, TRIM($B8),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9">
      <c r="A9" s="88" t="s">
        <v>148</v>
      </c>
      <c r="B9" s="88"/>
      <c r="C9" s="89" t="str">
        <f t="array" ref="C9">IFNA(
  LET(
    colaborador, TRIM(C$1),
    tipo, TRIM($B9),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9" s="89">
        <f t="array" ref="D9">IFNA(
  LET(
    colaborador, TRIM(D$1),
    tipo, TRIM($B9),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9" s="89">
        <f t="array" ref="E9">IFNA(
  LET(
    colaborador, TRIM(E$1),
    tipo, TRIM($B9),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9" s="89" t="str">
        <f t="array" ref="F9">IFNA(
  LET(
    colaborador, TRIM(F$1),
    tipo, TRIM($B9),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9" s="89" t="str">
        <f t="array" ref="G9">IFNA(
  LET(
    colaborador, TRIM(G$1),
    tipo, TRIM($B9),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9" s="88" t="str">
        <f t="array" ref="H9">IFNA(
  LET(
    colaborador, TRIM(H$1),
    tipo, TRIM($B9),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9" s="89" t="str">
        <f t="array" ref="I9">IFNA(
  LET(
    colaborador, TRIM(I$1),
    tipo, TRIM($B9),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9" s="89" t="str">
        <f t="array" ref="J9">IFNA(
  LET(
    colaborador, TRIM(J$1),
    tipo, TRIM($B9),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9" s="89" t="str">
        <f t="array" ref="K9">IFNA(
  LET(
    colaborador, TRIM(K$1),
    tipo, TRIM($B9),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9" s="89" t="str">
        <f t="array" ref="L9">IFNA(
  LET(
    colaborador, TRIM(L$1),
    tipo, TRIM($B9),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9" s="89" t="str">
        <f t="array" ref="M9">IFNA(
  LET(
    colaborador, TRIM(M$1),
    tipo, TRIM($B9),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9" s="89" t="str">
        <f t="array" ref="N9">IFNA(
  LET(
    colaborador, TRIM(N$1),
    tipo, TRIM($B9),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9" s="89">
        <f t="array" ref="O9">IFNA(
  LET(
    colaborador, TRIM(O$1),
    tipo, TRIM($B9),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10">
      <c r="A10" s="88" t="s">
        <v>148</v>
      </c>
      <c r="B10" s="88"/>
      <c r="C10" s="89" t="str">
        <f t="array" ref="C10">IFNA(
  LET(
    colaborador, TRIM(C$1),
    tipo, TRIM($B10),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10" s="89">
        <f t="array" ref="D10">IFNA(
  LET(
    colaborador, TRIM(D$1),
    tipo, TRIM($B10),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10" s="88">
        <f t="array" ref="E10">IFNA(
  LET(
    colaborador, TRIM(E$1),
    tipo, TRIM($B10),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10" s="89" t="str">
        <f t="array" ref="F10">IFNA(
  LET(
    colaborador, TRIM(F$1),
    tipo, TRIM($B10),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10" s="89" t="str">
        <f t="array" ref="G10">IFNA(
  LET(
    colaborador, TRIM(G$1),
    tipo, TRIM($B10),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10" s="88" t="str">
        <f t="array" ref="H10">IFNA(
  LET(
    colaborador, TRIM(H$1),
    tipo, TRIM($B10),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10" s="89" t="str">
        <f t="array" ref="I10">IFNA(
  LET(
    colaborador, TRIM(I$1),
    tipo, TRIM($B10),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10" s="89" t="str">
        <f t="array" ref="J10">IFNA(
  LET(
    colaborador, TRIM(J$1),
    tipo, TRIM($B10),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10" s="89" t="str">
        <f t="array" ref="K10">IFNA(
  LET(
    colaborador, TRIM(K$1),
    tipo, TRIM($B10),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10" s="89" t="str">
        <f t="array" ref="L10">IFNA(
  LET(
    colaborador, TRIM(L$1),
    tipo, TRIM($B10),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10" s="89" t="str">
        <f t="array" ref="M10">IFNA(
  LET(
    colaborador, TRIM(M$1),
    tipo, TRIM($B10),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10" s="89" t="str">
        <f t="array" ref="N10">IFNA(
  LET(
    colaborador, TRIM(N$1),
    tipo, TRIM($B10),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10" s="89">
        <f t="array" ref="O10">IFNA(
  LET(
    colaborador, TRIM(O$1),
    tipo, TRIM($B10),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11">
      <c r="A11" s="88" t="s">
        <v>148</v>
      </c>
      <c r="B11" s="88"/>
      <c r="C11" s="89" t="str">
        <f t="array" ref="C11">IFNA(
  LET(
    colaborador, TRIM(C$1),
    tipo, TRIM($B11),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11" s="89">
        <f t="array" ref="D11">IFNA(
  LET(
    colaborador, TRIM(D$1),
    tipo, TRIM($B11),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11" s="89">
        <f t="array" ref="E11">IFNA(
  LET(
    colaborador, TRIM(E$1),
    tipo, TRIM($B11),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11" s="89" t="str">
        <f t="array" ref="F11">IFNA(
  LET(
    colaborador, TRIM(F$1),
    tipo, TRIM($B11),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11" s="89" t="str">
        <f t="array" ref="G11">IFNA(
  LET(
    colaborador, TRIM(G$1),
    tipo, TRIM($B11),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11" s="88" t="str">
        <f t="array" ref="H11">IFNA(
  LET(
    colaborador, TRIM(H$1),
    tipo, TRIM($B11),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11" s="89" t="str">
        <f t="array" ref="I11">IFNA(
  LET(
    colaborador, TRIM(I$1),
    tipo, TRIM($B11),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11" s="89" t="str">
        <f t="array" ref="J11">IFNA(
  LET(
    colaborador, TRIM(J$1),
    tipo, TRIM($B11),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11" s="89" t="str">
        <f t="array" ref="K11">IFNA(
  LET(
    colaborador, TRIM(K$1),
    tipo, TRIM($B11),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11" s="89" t="str">
        <f t="array" ref="L11">IFNA(
  LET(
    colaborador, TRIM(L$1),
    tipo, TRIM($B11),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11" s="89" t="str">
        <f t="array" ref="M11">IFNA(
  LET(
    colaborador, TRIM(M$1),
    tipo, TRIM($B11),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11" s="89" t="str">
        <f t="array" ref="N11">IFNA(
  LET(
    colaborador, TRIM(N$1),
    tipo, TRIM($B11),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11" s="89">
        <f t="array" ref="O11">IFNA(
  LET(
    colaborador, TRIM(O$1),
    tipo, TRIM($B11),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12">
      <c r="A12" s="88" t="s">
        <v>148</v>
      </c>
      <c r="B12" s="88"/>
      <c r="C12" s="89" t="str">
        <f t="array" ref="C12">IFNA(
  LET(
    colaborador, TRIM(C$1),
    tipo, TRIM($B12),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12" s="89">
        <f t="array" ref="D12">IFNA(
  LET(
    colaborador, TRIM(D$1),
    tipo, TRIM($B12),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12" s="88">
        <f t="array" ref="E12">IFNA(
  LET(
    colaborador, TRIM(E$1),
    tipo, TRIM($B12),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12" s="89" t="str">
        <f t="array" ref="F12">IFNA(
  LET(
    colaborador, TRIM(F$1),
    tipo, TRIM($B12),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12" s="89" t="str">
        <f t="array" ref="G12">IFNA(
  LET(
    colaborador, TRIM(G$1),
    tipo, TRIM($B12),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12" s="88" t="str">
        <f t="array" ref="H12">IFNA(
  LET(
    colaborador, TRIM(H$1),
    tipo, TRIM($B12),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12" s="89" t="str">
        <f t="array" ref="I12">IFNA(
  LET(
    colaborador, TRIM(I$1),
    tipo, TRIM($B12),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12" s="89" t="str">
        <f t="array" ref="J12">IFNA(
  LET(
    colaborador, TRIM(J$1),
    tipo, TRIM($B12),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12" s="89" t="str">
        <f t="array" ref="K12">IFNA(
  LET(
    colaborador, TRIM(K$1),
    tipo, TRIM($B12),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12" s="89" t="str">
        <f t="array" ref="L12">IFNA(
  LET(
    colaborador, TRIM(L$1),
    tipo, TRIM($B12),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12" s="89" t="str">
        <f t="array" ref="M12">IFNA(
  LET(
    colaborador, TRIM(M$1),
    tipo, TRIM($B12),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12" s="89" t="str">
        <f t="array" ref="N12">IFNA(
  LET(
    colaborador, TRIM(N$1),
    tipo, TRIM($B12),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12" s="89">
        <f t="array" ref="O12">IFNA(
  LET(
    colaborador, TRIM(O$1),
    tipo, TRIM($B12),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13">
      <c r="A13" s="88" t="s">
        <v>148</v>
      </c>
      <c r="B13" s="88"/>
      <c r="C13" s="89" t="str">
        <f t="array" ref="C13">IFNA(
  LET(
    colaborador, TRIM(C$1),
    tipo, TRIM($B13),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13" s="89">
        <f t="array" ref="D13">IFNA(
  LET(
    colaborador, TRIM(D$1),
    tipo, TRIM($B13),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13" s="89">
        <f t="array" ref="E13">IFNA(
  LET(
    colaborador, TRIM(E$1),
    tipo, TRIM($B13),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13" s="89" t="str">
        <f t="array" ref="F13">IFNA(
  LET(
    colaborador, TRIM(F$1),
    tipo, TRIM($B13),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13" s="89" t="str">
        <f t="array" ref="G13">IFNA(
  LET(
    colaborador, TRIM(G$1),
    tipo, TRIM($B13),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13" s="88" t="str">
        <f t="array" ref="H13">IFNA(
  LET(
    colaborador, TRIM(H$1),
    tipo, TRIM($B13),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13" s="89" t="str">
        <f t="array" ref="I13">IFNA(
  LET(
    colaborador, TRIM(I$1),
    tipo, TRIM($B13),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13" s="89" t="str">
        <f t="array" ref="J13">IFNA(
  LET(
    colaborador, TRIM(J$1),
    tipo, TRIM($B13),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13" s="89" t="str">
        <f t="array" ref="K13">IFNA(
  LET(
    colaborador, TRIM(K$1),
    tipo, TRIM($B13),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13" s="89" t="str">
        <f t="array" ref="L13">IFNA(
  LET(
    colaborador, TRIM(L$1),
    tipo, TRIM($B13),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13" s="89" t="str">
        <f t="array" ref="M13">IFNA(
  LET(
    colaborador, TRIM(M$1),
    tipo, TRIM($B13),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13" s="89" t="str">
        <f t="array" ref="N13">IFNA(
  LET(
    colaborador, TRIM(N$1),
    tipo, TRIM($B13),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13" s="89">
        <f t="array" ref="O13">IFNA(
  LET(
    colaborador, TRIM(O$1),
    tipo, TRIM($B13),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14">
      <c r="A14" s="88" t="s">
        <v>148</v>
      </c>
      <c r="B14" s="88"/>
      <c r="C14" s="89" t="str">
        <f t="array" ref="C14">IFNA(
  LET(
    colaborador, TRIM(C$1),
    tipo, TRIM($B14),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14" s="89">
        <f t="array" ref="D14">IFNA(
  LET(
    colaborador, TRIM(D$1),
    tipo, TRIM($B14),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14" s="88">
        <f t="array" ref="E14">IFNA(
  LET(
    colaborador, TRIM(E$1),
    tipo, TRIM($B14),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14" s="89" t="str">
        <f t="array" ref="F14">IFNA(
  LET(
    colaborador, TRIM(F$1),
    tipo, TRIM($B14),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14" s="89" t="str">
        <f t="array" ref="G14">IFNA(
  LET(
    colaborador, TRIM(G$1),
    tipo, TRIM($B14),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14" s="88" t="str">
        <f t="array" ref="H14">IFNA(
  LET(
    colaborador, TRIM(H$1),
    tipo, TRIM($B14),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14" s="89" t="str">
        <f t="array" ref="I14">IFNA(
  LET(
    colaborador, TRIM(I$1),
    tipo, TRIM($B14),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14" s="89" t="str">
        <f t="array" ref="J14">IFNA(
  LET(
    colaborador, TRIM(J$1),
    tipo, TRIM($B14),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14" s="89" t="str">
        <f t="array" ref="K14">IFNA(
  LET(
    colaborador, TRIM(K$1),
    tipo, TRIM($B14),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14" s="89" t="str">
        <f t="array" ref="L14">IFNA(
  LET(
    colaborador, TRIM(L$1),
    tipo, TRIM($B14),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14" s="89" t="str">
        <f t="array" ref="M14">IFNA(
  LET(
    colaborador, TRIM(M$1),
    tipo, TRIM($B14),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14" s="89" t="str">
        <f t="array" ref="N14">IFNA(
  LET(
    colaborador, TRIM(N$1),
    tipo, TRIM($B14),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14" s="89">
        <f t="array" ref="O14">IFNA(
  LET(
    colaborador, TRIM(O$1),
    tipo, TRIM($B14),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15">
      <c r="A15" s="88" t="s">
        <v>148</v>
      </c>
      <c r="B15" s="88"/>
      <c r="C15" s="89" t="str">
        <f t="array" ref="C15">IFNA(
  LET(
    colaborador, TRIM(C$1),
    tipo, TRIM($B15),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15" s="89">
        <f t="array" ref="D15">IFNA(
  LET(
    colaborador, TRIM(D$1),
    tipo, TRIM($B15),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15" s="89">
        <f t="array" ref="E15">IFNA(
  LET(
    colaborador, TRIM(E$1),
    tipo, TRIM($B15),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15" s="89" t="str">
        <f t="array" ref="F15">IFNA(
  LET(
    colaborador, TRIM(F$1),
    tipo, TRIM($B15),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15" s="89" t="str">
        <f t="array" ref="G15">IFNA(
  LET(
    colaborador, TRIM(G$1),
    tipo, TRIM($B15),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15" s="88" t="str">
        <f t="array" ref="H15">IFNA(
  LET(
    colaborador, TRIM(H$1),
    tipo, TRIM($B15),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15" s="89" t="str">
        <f t="array" ref="I15">IFNA(
  LET(
    colaborador, TRIM(I$1),
    tipo, TRIM($B15),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15" s="89" t="str">
        <f t="array" ref="J15">IFNA(
  LET(
    colaborador, TRIM(J$1),
    tipo, TRIM($B15),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15" s="89" t="str">
        <f t="array" ref="K15">IFNA(
  LET(
    colaborador, TRIM(K$1),
    tipo, TRIM($B15),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15" s="89" t="str">
        <f t="array" ref="L15">IFNA(
  LET(
    colaborador, TRIM(L$1),
    tipo, TRIM($B15),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15" s="89" t="str">
        <f t="array" ref="M15">IFNA(
  LET(
    colaborador, TRIM(M$1),
    tipo, TRIM($B15),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15" s="89" t="str">
        <f t="array" ref="N15">IFNA(
  LET(
    colaborador, TRIM(N$1),
    tipo, TRIM($B15),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15" s="89">
        <f t="array" ref="O15">IFNA(
  LET(
    colaborador, TRIM(O$1),
    tipo, TRIM($B15),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16">
      <c r="A16" s="88" t="s">
        <v>148</v>
      </c>
      <c r="B16" s="88"/>
      <c r="C16" s="89" t="str">
        <f t="array" ref="C16">IFNA(
  LET(
    colaborador, TRIM(C$1),
    tipo, TRIM($B16),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16" s="89">
        <f t="array" ref="D16">IFNA(
  LET(
    colaborador, TRIM(D$1),
    tipo, TRIM($B16),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16" s="89">
        <f t="array" ref="E16">IFNA(
  LET(
    colaborador, TRIM(E$1),
    tipo, TRIM($B16),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16" s="89" t="str">
        <f t="array" ref="F16">IFNA(
  LET(
    colaborador, TRIM(F$1),
    tipo, TRIM($B16),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16" s="89" t="str">
        <f t="array" ref="G16">IFNA(
  LET(
    colaborador, TRIM(G$1),
    tipo, TRIM($B16),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16" s="88" t="str">
        <f t="array" ref="H16">IFNA(
  LET(
    colaborador, TRIM(H$1),
    tipo, TRIM($B16),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16" s="89" t="str">
        <f t="array" ref="I16">IFNA(
  LET(
    colaborador, TRIM(I$1),
    tipo, TRIM($B16),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16" s="89" t="str">
        <f t="array" ref="J16">IFNA(
  LET(
    colaborador, TRIM(J$1),
    tipo, TRIM($B16),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16" s="89" t="str">
        <f t="array" ref="K16">IFNA(
  LET(
    colaborador, TRIM(K$1),
    tipo, TRIM($B16),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16" s="89" t="str">
        <f t="array" ref="L16">IFNA(
  LET(
    colaborador, TRIM(L$1),
    tipo, TRIM($B16),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16" s="89" t="str">
        <f t="array" ref="M16">IFNA(
  LET(
    colaborador, TRIM(M$1),
    tipo, TRIM($B16),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16" s="89" t="str">
        <f t="array" ref="N16">IFNA(
  LET(
    colaborador, TRIM(N$1),
    tipo, TRIM($B16),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16" s="89">
        <f t="array" ref="O16">IFNA(
  LET(
    colaborador, TRIM(O$1),
    tipo, TRIM($B16),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17">
      <c r="A17" s="88" t="s">
        <v>148</v>
      </c>
      <c r="B17" s="88"/>
      <c r="C17" s="89" t="str">
        <f t="array" ref="C17">IFNA(
  LET(
    colaborador, TRIM(C$1),
    tipo, TRIM($B17),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17" s="89">
        <f t="array" ref="D17">IFNA(
  LET(
    colaborador, TRIM(D$1),
    tipo, TRIM($B17),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17" s="89">
        <f t="array" ref="E17">IFNA(
  LET(
    colaborador, TRIM(E$1),
    tipo, TRIM($B17),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17" s="89" t="str">
        <f t="array" ref="F17">IFNA(
  LET(
    colaborador, TRIM(F$1),
    tipo, TRIM($B17),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17" s="89" t="str">
        <f t="array" ref="G17">IFNA(
  LET(
    colaborador, TRIM(G$1),
    tipo, TRIM($B17),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17" s="88" t="str">
        <f t="array" ref="H17">IFNA(
  LET(
    colaborador, TRIM(H$1),
    tipo, TRIM($B17),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17" s="89" t="str">
        <f t="array" ref="I17">IFNA(
  LET(
    colaborador, TRIM(I$1),
    tipo, TRIM($B17),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17" s="89" t="str">
        <f t="array" ref="J17">IFNA(
  LET(
    colaborador, TRIM(J$1),
    tipo, TRIM($B17),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17" s="89" t="str">
        <f t="array" ref="K17">IFNA(
  LET(
    colaborador, TRIM(K$1),
    tipo, TRIM($B17),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17" s="89" t="str">
        <f t="array" ref="L17">IFNA(
  LET(
    colaborador, TRIM(L$1),
    tipo, TRIM($B17),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17" s="89" t="str">
        <f t="array" ref="M17">IFNA(
  LET(
    colaborador, TRIM(M$1),
    tipo, TRIM($B17),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17" s="89" t="str">
        <f t="array" ref="N17">IFNA(
  LET(
    colaborador, TRIM(N$1),
    tipo, TRIM($B17),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17" s="89">
        <f t="array" ref="O17">IFNA(
  LET(
    colaborador, TRIM(O$1),
    tipo, TRIM($B17),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18">
      <c r="A18" s="88" t="s">
        <v>148</v>
      </c>
      <c r="B18" s="88"/>
      <c r="C18" s="89" t="str">
        <f t="array" ref="C18">IFNA(
  LET(
    colaborador, TRIM(C$1),
    tipo, TRIM($B18),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18" s="89">
        <f t="array" ref="D18">IFNA(
  LET(
    colaborador, TRIM(D$1),
    tipo, TRIM($B18),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18" s="89">
        <f t="array" ref="E18">IFNA(
  LET(
    colaborador, TRIM(E$1),
    tipo, TRIM($B18),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18" s="89" t="str">
        <f t="array" ref="F18">IFNA(
  LET(
    colaborador, TRIM(F$1),
    tipo, TRIM($B18),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18" s="89" t="str">
        <f t="array" ref="G18">IFNA(
  LET(
    colaborador, TRIM(G$1),
    tipo, TRIM($B18),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18" s="88" t="str">
        <f t="array" ref="H18">IFNA(
  LET(
    colaborador, TRIM(H$1),
    tipo, TRIM($B18),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18" s="89" t="str">
        <f t="array" ref="I18">IFNA(
  LET(
    colaborador, TRIM(I$1),
    tipo, TRIM($B18),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18" s="89" t="str">
        <f t="array" ref="J18">IFNA(
  LET(
    colaborador, TRIM(J$1),
    tipo, TRIM($B18),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18" s="89" t="str">
        <f t="array" ref="K18">IFNA(
  LET(
    colaborador, TRIM(K$1),
    tipo, TRIM($B18),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18" s="89" t="str">
        <f t="array" ref="L18">IFNA(
  LET(
    colaborador, TRIM(L$1),
    tipo, TRIM($B18),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18" s="89" t="str">
        <f t="array" ref="M18">IFNA(
  LET(
    colaborador, TRIM(M$1),
    tipo, TRIM($B18),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18" s="89" t="str">
        <f t="array" ref="N18">IFNA(
  LET(
    colaborador, TRIM(N$1),
    tipo, TRIM($B18),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18" s="89">
        <f t="array" ref="O18">IFNA(
  LET(
    colaborador, TRIM(O$1),
    tipo, TRIM($B18),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19">
      <c r="A19" s="88" t="s">
        <v>148</v>
      </c>
      <c r="B19" s="88"/>
      <c r="C19" s="89" t="str">
        <f t="array" ref="C19">IFNA(
  LET(
    colaborador, TRIM(C$1),
    tipo, TRIM($B19),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19" s="89">
        <f t="array" ref="D19">IFNA(
  LET(
    colaborador, TRIM(D$1),
    tipo, TRIM($B19),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19" s="89">
        <f t="array" ref="E19">IFNA(
  LET(
    colaborador, TRIM(E$1),
    tipo, TRIM($B19),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19" s="89" t="str">
        <f t="array" ref="F19">IFNA(
  LET(
    colaborador, TRIM(F$1),
    tipo, TRIM($B19),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19" s="88" t="str">
        <f t="array" ref="G19">IFNA(
  LET(
    colaborador, TRIM(G$1),
    tipo, TRIM($B19),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19" s="88" t="str">
        <f t="array" ref="H19">IFNA(
  LET(
    colaborador, TRIM(H$1),
    tipo, TRIM($B19),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19" s="89" t="str">
        <f t="array" ref="I19">IFNA(
  LET(
    colaborador, TRIM(I$1),
    tipo, TRIM($B19),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19" s="89" t="str">
        <f t="array" ref="J19">IFNA(
  LET(
    colaborador, TRIM(J$1),
    tipo, TRIM($B19),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19" s="89" t="str">
        <f t="array" ref="K19">IFNA(
  LET(
    colaborador, TRIM(K$1),
    tipo, TRIM($B19),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19" s="89" t="str">
        <f t="array" ref="L19">IFNA(
  LET(
    colaborador, TRIM(L$1),
    tipo, TRIM($B19),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19" s="89" t="str">
        <f t="array" ref="M19">IFNA(
  LET(
    colaborador, TRIM(M$1),
    tipo, TRIM($B19),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19" s="89" t="str">
        <f t="array" ref="N19">IFNA(
  LET(
    colaborador, TRIM(N$1),
    tipo, TRIM($B19),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19" s="89">
        <f t="array" ref="O19">IFNA(
  LET(
    colaborador, TRIM(O$1),
    tipo, TRIM($B19),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20">
      <c r="A20" s="88" t="s">
        <v>148</v>
      </c>
      <c r="B20" s="88"/>
      <c r="C20" s="89" t="str">
        <f t="array" ref="C20">IFNA(
  LET(
    colaborador, TRIM(C$1),
    tipo, TRIM($B20),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20" s="89">
        <f t="array" ref="D20">IFNA(
  LET(
    colaborador, TRIM(D$1),
    tipo, TRIM($B20),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20" s="89">
        <f t="array" ref="E20">IFNA(
  LET(
    colaborador, TRIM(E$1),
    tipo, TRIM($B20),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20" s="89" t="str">
        <f t="array" ref="F20">IFNA(
  LET(
    colaborador, TRIM(F$1),
    tipo, TRIM($B20),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20" s="88" t="str">
        <f t="array" ref="G20">IFNA(
  LET(
    colaborador, TRIM(G$1),
    tipo, TRIM($B20),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20" s="88" t="str">
        <f t="array" ref="H20">IFNA(
  LET(
    colaborador, TRIM(H$1),
    tipo, TRIM($B20),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20" s="89" t="str">
        <f t="array" ref="I20">IFNA(
  LET(
    colaborador, TRIM(I$1),
    tipo, TRIM($B20),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20" s="89" t="str">
        <f t="array" ref="J20">IFNA(
  LET(
    colaborador, TRIM(J$1),
    tipo, TRIM($B20),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20" s="89" t="str">
        <f t="array" ref="K20">IFNA(
  LET(
    colaborador, TRIM(K$1),
    tipo, TRIM($B20),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20" s="89" t="str">
        <f t="array" ref="L20">IFNA(
  LET(
    colaborador, TRIM(L$1),
    tipo, TRIM($B20),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20" s="89" t="str">
        <f t="array" ref="M20">IFNA(
  LET(
    colaborador, TRIM(M$1),
    tipo, TRIM($B20),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20" s="89" t="str">
        <f t="array" ref="N20">IFNA(
  LET(
    colaborador, TRIM(N$1),
    tipo, TRIM($B20),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20" s="89">
        <f t="array" ref="O20">IFNA(
  LET(
    colaborador, TRIM(O$1),
    tipo, TRIM($B20),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21">
      <c r="A21" s="88" t="s">
        <v>148</v>
      </c>
      <c r="B21" s="88"/>
      <c r="C21" s="89" t="str">
        <f t="array" ref="C21">IFNA(
  LET(
    colaborador, TRIM(C$1),
    tipo, TRIM($B21),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21" s="89">
        <f t="array" ref="D21">IFNA(
  LET(
    colaborador, TRIM(D$1),
    tipo, TRIM($B21),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21" s="89">
        <f t="array" ref="E21">IFNA(
  LET(
    colaborador, TRIM(E$1),
    tipo, TRIM($B21),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21" s="89" t="str">
        <f t="array" ref="F21">IFNA(
  LET(
    colaborador, TRIM(F$1),
    tipo, TRIM($B21),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21" s="89" t="str">
        <f t="array" ref="G21">IFNA(
  LET(
    colaborador, TRIM(G$1),
    tipo, TRIM($B21),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21" s="88" t="str">
        <f t="array" ref="H21">IFNA(
  LET(
    colaborador, TRIM(H$1),
    tipo, TRIM($B21),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21" s="88" t="str">
        <f t="array" ref="I21">IFNA(
  LET(
    colaborador, TRIM(I$1),
    tipo, TRIM($B21),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21" s="89" t="str">
        <f t="array" ref="J21">IFNA(
  LET(
    colaborador, TRIM(J$1),
    tipo, TRIM($B21),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21" s="89" t="str">
        <f t="array" ref="K21">IFNA(
  LET(
    colaborador, TRIM(K$1),
    tipo, TRIM($B21),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21" s="89" t="str">
        <f t="array" ref="L21">IFNA(
  LET(
    colaborador, TRIM(L$1),
    tipo, TRIM($B21),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21" s="89" t="str">
        <f t="array" ref="M21">IFNA(
  LET(
    colaborador, TRIM(M$1),
    tipo, TRIM($B21),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21" s="89" t="str">
        <f t="array" ref="N21">IFNA(
  LET(
    colaborador, TRIM(N$1),
    tipo, TRIM($B21),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21" s="89">
        <f t="array" ref="O21">IFNA(
  LET(
    colaborador, TRIM(O$1),
    tipo, TRIM($B21),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22">
      <c r="A22" s="88" t="s">
        <v>148</v>
      </c>
      <c r="B22" s="88"/>
      <c r="C22" s="89" t="str">
        <f t="array" ref="C22">IFNA(
  LET(
    colaborador, TRIM(C$1),
    tipo, TRIM($B22),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22" s="89">
        <f t="array" ref="D22">IFNA(
  LET(
    colaborador, TRIM(D$1),
    tipo, TRIM($B22),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22" s="89">
        <f t="array" ref="E22">IFNA(
  LET(
    colaborador, TRIM(E$1),
    tipo, TRIM($B22),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22" s="89" t="str">
        <f t="array" ref="F22">IFNA(
  LET(
    colaborador, TRIM(F$1),
    tipo, TRIM($B22),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22" s="89" t="str">
        <f t="array" ref="G22">IFNA(
  LET(
    colaborador, TRIM(G$1),
    tipo, TRIM($B22),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22" s="88" t="str">
        <f t="array" ref="H22">IFNA(
  LET(
    colaborador, TRIM(H$1),
    tipo, TRIM($B22),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22" s="88" t="str">
        <f t="array" ref="I22">IFNA(
  LET(
    colaborador, TRIM(I$1),
    tipo, TRIM($B22),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22" s="89" t="str">
        <f t="array" ref="J22">IFNA(
  LET(
    colaborador, TRIM(J$1),
    tipo, TRIM($B22),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22" s="89" t="str">
        <f t="array" ref="K22">IFNA(
  LET(
    colaborador, TRIM(K$1),
    tipo, TRIM($B22),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22" s="89" t="str">
        <f t="array" ref="L22">IFNA(
  LET(
    colaborador, TRIM(L$1),
    tipo, TRIM($B22),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22" s="89" t="str">
        <f t="array" ref="M22">IFNA(
  LET(
    colaborador, TRIM(M$1),
    tipo, TRIM($B22),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22" s="89" t="str">
        <f t="array" ref="N22">IFNA(
  LET(
    colaborador, TRIM(N$1),
    tipo, TRIM($B22),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22" s="89">
        <f t="array" ref="O22">IFNA(
  LET(
    colaborador, TRIM(O$1),
    tipo, TRIM($B22),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23">
      <c r="A23" s="88" t="s">
        <v>148</v>
      </c>
      <c r="B23" s="88"/>
      <c r="C23" s="89" t="str">
        <f t="array" ref="C23">IFNA(
  LET(
    colaborador, TRIM(C$1),
    tipo, TRIM($B23),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23" s="89">
        <f t="array" ref="D23">IFNA(
  LET(
    colaborador, TRIM(D$1),
    tipo, TRIM($B23),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23" s="89">
        <f t="array" ref="E23">IFNA(
  LET(
    colaborador, TRIM(E$1),
    tipo, TRIM($B23),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23" s="89" t="str">
        <f t="array" ref="F23">IFNA(
  LET(
    colaborador, TRIM(F$1),
    tipo, TRIM($B23),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23" s="89" t="str">
        <f t="array" ref="G23">IFNA(
  LET(
    colaborador, TRIM(G$1),
    tipo, TRIM($B23),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23" s="88" t="str">
        <f t="array" ref="H23">IFNA(
  LET(
    colaborador, TRIM(H$1),
    tipo, TRIM($B23),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23" s="89" t="str">
        <f t="array" ref="I23">IFNA(
  LET(
    colaborador, TRIM(I$1),
    tipo, TRIM($B23),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23" s="89" t="str">
        <f t="array" ref="J23">IFNA(
  LET(
    colaborador, TRIM(J$1),
    tipo, TRIM($B23),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23" s="89" t="str">
        <f t="array" ref="K23">IFNA(
  LET(
    colaborador, TRIM(K$1),
    tipo, TRIM($B23),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23" s="89" t="str">
        <f t="array" ref="L23">IFNA(
  LET(
    colaborador, TRIM(L$1),
    tipo, TRIM($B23),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23" s="89" t="str">
        <f t="array" ref="M23">IFNA(
  LET(
    colaborador, TRIM(M$1),
    tipo, TRIM($B23),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23" s="89" t="str">
        <f t="array" ref="N23">IFNA(
  LET(
    colaborador, TRIM(N$1),
    tipo, TRIM($B23),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23" s="89">
        <f t="array" ref="O23">IFNA(
  LET(
    colaborador, TRIM(O$1),
    tipo, TRIM($B23),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24">
      <c r="A24" s="88" t="s">
        <v>148</v>
      </c>
      <c r="B24" s="88"/>
      <c r="C24" s="89" t="str">
        <f t="array" ref="C24">IFNA(
  LET(
    colaborador, TRIM(C$1),
    tipo, TRIM($B24),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24" s="89">
        <f t="array" ref="D24">IFNA(
  LET(
    colaborador, TRIM(D$1),
    tipo, TRIM($B24),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24" s="89">
        <f t="array" ref="E24">IFNA(
  LET(
    colaborador, TRIM(E$1),
    tipo, TRIM($B24),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24" s="89" t="str">
        <f t="array" ref="F24">IFNA(
  LET(
    colaborador, TRIM(F$1),
    tipo, TRIM($B24),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24" s="89" t="str">
        <f t="array" ref="G24">IFNA(
  LET(
    colaborador, TRIM(G$1),
    tipo, TRIM($B24),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24" s="88" t="str">
        <f t="array" ref="H24">IFNA(
  LET(
    colaborador, TRIM(H$1),
    tipo, TRIM($B24),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24" s="89" t="str">
        <f t="array" ref="I24">IFNA(
  LET(
    colaborador, TRIM(I$1),
    tipo, TRIM($B24),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24" s="89" t="str">
        <f t="array" ref="J24">IFNA(
  LET(
    colaborador, TRIM(J$1),
    tipo, TRIM($B24),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24" s="89" t="str">
        <f t="array" ref="K24">IFNA(
  LET(
    colaborador, TRIM(K$1),
    tipo, TRIM($B24),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24" s="89" t="str">
        <f t="array" ref="L24">IFNA(
  LET(
    colaborador, TRIM(L$1),
    tipo, TRIM($B24),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24" s="89" t="str">
        <f t="array" ref="M24">IFNA(
  LET(
    colaborador, TRIM(M$1),
    tipo, TRIM($B24),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24" s="89" t="str">
        <f t="array" ref="N24">IFNA(
  LET(
    colaborador, TRIM(N$1),
    tipo, TRIM($B24),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24" s="89">
        <f t="array" ref="O24">IFNA(
  LET(
    colaborador, TRIM(O$1),
    tipo, TRIM($B24),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25">
      <c r="A25" s="88" t="s">
        <v>148</v>
      </c>
      <c r="B25" s="88"/>
      <c r="C25" s="89" t="str">
        <f t="array" ref="C25">IFNA(
  LET(
    colaborador, TRIM(C$1),
    tipo, TRIM($B25),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25" s="89">
        <f t="array" ref="D25">IFNA(
  LET(
    colaborador, TRIM(D$1),
    tipo, TRIM($B25),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25" s="89">
        <f t="array" ref="E25">IFNA(
  LET(
    colaborador, TRIM(E$1),
    tipo, TRIM($B25),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25" s="89" t="str">
        <f t="array" ref="F25">IFNA(
  LET(
    colaborador, TRIM(F$1),
    tipo, TRIM($B25),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25" s="89" t="str">
        <f t="array" ref="G25">IFNA(
  LET(
    colaborador, TRIM(G$1),
    tipo, TRIM($B25),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25" s="88" t="str">
        <f t="array" ref="H25">IFNA(
  LET(
    colaborador, TRIM(H$1),
    tipo, TRIM($B25),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25" s="89" t="str">
        <f t="array" ref="I25">IFNA(
  LET(
    colaborador, TRIM(I$1),
    tipo, TRIM($B25),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25" s="89" t="str">
        <f t="array" ref="J25">IFNA(
  LET(
    colaborador, TRIM(J$1),
    tipo, TRIM($B25),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25" s="89" t="str">
        <f t="array" ref="K25">IFNA(
  LET(
    colaborador, TRIM(K$1),
    tipo, TRIM($B25),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25" s="89" t="str">
        <f t="array" ref="L25">IFNA(
  LET(
    colaborador, TRIM(L$1),
    tipo, TRIM($B25),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25" s="89" t="str">
        <f t="array" ref="M25">IFNA(
  LET(
    colaborador, TRIM(M$1),
    tipo, TRIM($B25),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25" s="89" t="str">
        <f t="array" ref="N25">IFNA(
  LET(
    colaborador, TRIM(N$1),
    tipo, TRIM($B25),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25" s="89">
        <f t="array" ref="O25">IFNA(
  LET(
    colaborador, TRIM(O$1),
    tipo, TRIM($B25),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26">
      <c r="A26" s="88" t="s">
        <v>148</v>
      </c>
      <c r="B26" s="88"/>
      <c r="C26" s="89" t="str">
        <f t="array" ref="C26">IFNA(
  LET(
    colaborador, TRIM(C$1),
    tipo, TRIM($B26),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26" s="89">
        <f t="array" ref="D26">IFNA(
  LET(
    colaborador, TRIM(D$1),
    tipo, TRIM($B26),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26" s="89">
        <f t="array" ref="E26">IFNA(
  LET(
    colaborador, TRIM(E$1),
    tipo, TRIM($B26),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26" s="89" t="str">
        <f t="array" ref="F26">IFNA(
  LET(
    colaborador, TRIM(F$1),
    tipo, TRIM($B26),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26" s="89" t="str">
        <f t="array" ref="G26">IFNA(
  LET(
    colaborador, TRIM(G$1),
    tipo, TRIM($B26),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26" s="88" t="str">
        <f t="array" ref="H26">IFNA(
  LET(
    colaborador, TRIM(H$1),
    tipo, TRIM($B26),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26" s="89" t="str">
        <f t="array" ref="I26">IFNA(
  LET(
    colaborador, TRIM(I$1),
    tipo, TRIM($B26),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26" s="89" t="str">
        <f t="array" ref="J26">IFNA(
  LET(
    colaborador, TRIM(J$1),
    tipo, TRIM($B26),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26" s="89" t="str">
        <f t="array" ref="K26">IFNA(
  LET(
    colaborador, TRIM(K$1),
    tipo, TRIM($B26),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26" s="88" t="str">
        <f t="array" ref="L26">IFNA(
  LET(
    colaborador, TRIM(L$1),
    tipo, TRIM($B26),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26" s="89" t="str">
        <f t="array" ref="M26">IFNA(
  LET(
    colaborador, TRIM(M$1),
    tipo, TRIM($B26),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26" s="89" t="str">
        <f t="array" ref="N26">IFNA(
  LET(
    colaborador, TRIM(N$1),
    tipo, TRIM($B26),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26" s="89">
        <f t="array" ref="O26">IFNA(
  LET(
    colaborador, TRIM(O$1),
    tipo, TRIM($B26),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27">
      <c r="A27" s="88" t="s">
        <v>148</v>
      </c>
      <c r="B27" s="88"/>
      <c r="C27" s="89" t="str">
        <f t="array" ref="C27">IFNA(
  LET(
    colaborador, TRIM(C$1),
    tipo, TRIM($B27),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27" s="89">
        <f t="array" ref="D27">IFNA(
  LET(
    colaborador, TRIM(D$1),
    tipo, TRIM($B27),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27" s="89">
        <f t="array" ref="E27">IFNA(
  LET(
    colaborador, TRIM(E$1),
    tipo, TRIM($B27),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27" s="89" t="str">
        <f t="array" ref="F27">IFNA(
  LET(
    colaborador, TRIM(F$1),
    tipo, TRIM($B27),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27" s="89" t="str">
        <f t="array" ref="G27">IFNA(
  LET(
    colaborador, TRIM(G$1),
    tipo, TRIM($B27),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27" s="88" t="str">
        <f t="array" ref="H27">IFNA(
  LET(
    colaborador, TRIM(H$1),
    tipo, TRIM($B27),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27" s="89" t="str">
        <f t="array" ref="I27">IFNA(
  LET(
    colaborador, TRIM(I$1),
    tipo, TRIM($B27),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27" s="89" t="str">
        <f t="array" ref="J27">IFNA(
  LET(
    colaborador, TRIM(J$1),
    tipo, TRIM($B27),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27" s="89" t="str">
        <f t="array" ref="K27">IFNA(
  LET(
    colaborador, TRIM(K$1),
    tipo, TRIM($B27),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27" s="89" t="str">
        <f t="array" ref="L27">IFNA(
  LET(
    colaborador, TRIM(L$1),
    tipo, TRIM($B27),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27" s="89" t="str">
        <f t="array" ref="M27">IFNA(
  LET(
    colaborador, TRIM(M$1),
    tipo, TRIM($B27),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27" s="89" t="str">
        <f t="array" ref="N27">IFNA(
  LET(
    colaborador, TRIM(N$1),
    tipo, TRIM($B27),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27" s="89">
        <f t="array" ref="O27">IFNA(
  LET(
    colaborador, TRIM(O$1),
    tipo, TRIM($B27),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28">
      <c r="A28" s="88" t="s">
        <v>148</v>
      </c>
      <c r="B28" s="88"/>
      <c r="C28" s="89" t="str">
        <f t="array" ref="C28">IFNA(
  LET(
    colaborador, TRIM(C$1),
    tipo, TRIM($B28),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28" s="89">
        <f t="array" ref="D28">IFNA(
  LET(
    colaborador, TRIM(D$1),
    tipo, TRIM($B28),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28" s="89">
        <f t="array" ref="E28">IFNA(
  LET(
    colaborador, TRIM(E$1),
    tipo, TRIM($B28),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28" s="89" t="str">
        <f t="array" ref="F28">IFNA(
  LET(
    colaborador, TRIM(F$1),
    tipo, TRIM($B28),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28" s="89" t="str">
        <f t="array" ref="G28">IFNA(
  LET(
    colaborador, TRIM(G$1),
    tipo, TRIM($B28),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28" s="88" t="str">
        <f t="array" ref="H28">IFNA(
  LET(
    colaborador, TRIM(H$1),
    tipo, TRIM($B28),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28" s="89" t="str">
        <f t="array" ref="I28">IFNA(
  LET(
    colaborador, TRIM(I$1),
    tipo, TRIM($B28),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28" s="89" t="str">
        <f t="array" ref="J28">IFNA(
  LET(
    colaborador, TRIM(J$1),
    tipo, TRIM($B28),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28" s="89" t="str">
        <f t="array" ref="K28">IFNA(
  LET(
    colaborador, TRIM(K$1),
    tipo, TRIM($B28),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28" s="88" t="str">
        <f t="array" ref="L28">IFNA(
  LET(
    colaborador, TRIM(L$1),
    tipo, TRIM($B28),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28" s="89" t="str">
        <f t="array" ref="M28">IFNA(
  LET(
    colaborador, TRIM(M$1),
    tipo, TRIM($B28),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28" s="89" t="str">
        <f t="array" ref="N28">IFNA(
  LET(
    colaborador, TRIM(N$1),
    tipo, TRIM($B28),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28" s="89">
        <f t="array" ref="O28">IFNA(
  LET(
    colaborador, TRIM(O$1),
    tipo, TRIM($B28),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29">
      <c r="A29" s="88" t="s">
        <v>148</v>
      </c>
      <c r="B29" s="88"/>
      <c r="C29" s="89" t="str">
        <f t="array" ref="C29">IFNA(
  LET(
    colaborador, TRIM(C$1),
    tipo, TRIM($B29),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29" s="89">
        <f t="array" ref="D29">IFNA(
  LET(
    colaborador, TRIM(D$1),
    tipo, TRIM($B29),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29" s="89">
        <f t="array" ref="E29">IFNA(
  LET(
    colaborador, TRIM(E$1),
    tipo, TRIM($B29),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29" s="89" t="str">
        <f t="array" ref="F29">IFNA(
  LET(
    colaborador, TRIM(F$1),
    tipo, TRIM($B29),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29" s="89" t="str">
        <f t="array" ref="G29">IFNA(
  LET(
    colaborador, TRIM(G$1),
    tipo, TRIM($B29),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29" s="88" t="str">
        <f t="array" ref="H29">IFNA(
  LET(
    colaborador, TRIM(H$1),
    tipo, TRIM($B29),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29" s="89" t="str">
        <f t="array" ref="I29">IFNA(
  LET(
    colaborador, TRIM(I$1),
    tipo, TRIM($B29),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29" s="89" t="str">
        <f t="array" ref="J29">IFNA(
  LET(
    colaborador, TRIM(J$1),
    tipo, TRIM($B29),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29" s="89" t="str">
        <f t="array" ref="K29">IFNA(
  LET(
    colaborador, TRIM(K$1),
    tipo, TRIM($B29),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29" s="89" t="str">
        <f t="array" ref="L29">IFNA(
  LET(
    colaborador, TRIM(L$1),
    tipo, TRIM($B29),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29" s="89" t="str">
        <f t="array" ref="M29">IFNA(
  LET(
    colaborador, TRIM(M$1),
    tipo, TRIM($B29),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29" s="89" t="str">
        <f t="array" ref="N29">IFNA(
  LET(
    colaborador, TRIM(N$1),
    tipo, TRIM($B29),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29" s="89">
        <f t="array" ref="O29">IFNA(
  LET(
    colaborador, TRIM(O$1),
    tipo, TRIM($B29),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30">
      <c r="A30" s="88" t="s">
        <v>148</v>
      </c>
      <c r="B30" s="88"/>
      <c r="C30" s="89" t="str">
        <f t="array" ref="C30">IFNA(
  LET(
    colaborador, TRIM(C$1),
    tipo, TRIM($B30),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30" s="89">
        <f t="array" ref="D30">IFNA(
  LET(
    colaborador, TRIM(D$1),
    tipo, TRIM($B30),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30" s="89">
        <f t="array" ref="E30">IFNA(
  LET(
    colaborador, TRIM(E$1),
    tipo, TRIM($B30),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30" s="89" t="str">
        <f t="array" ref="F30">IFNA(
  LET(
    colaborador, TRIM(F$1),
    tipo, TRIM($B30),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30" s="89" t="str">
        <f t="array" ref="G30">IFNA(
  LET(
    colaborador, TRIM(G$1),
    tipo, TRIM($B30),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30" s="88" t="str">
        <f t="array" ref="H30">IFNA(
  LET(
    colaborador, TRIM(H$1),
    tipo, TRIM($B30),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30" s="89" t="str">
        <f t="array" ref="I30">IFNA(
  LET(
    colaborador, TRIM(I$1),
    tipo, TRIM($B30),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30" s="89" t="str">
        <f t="array" ref="J30">IFNA(
  LET(
    colaborador, TRIM(J$1),
    tipo, TRIM($B30),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30" s="89" t="str">
        <f t="array" ref="K30">IFNA(
  LET(
    colaborador, TRIM(K$1),
    tipo, TRIM($B30),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30" s="89" t="str">
        <f t="array" ref="L30">IFNA(
  LET(
    colaborador, TRIM(L$1),
    tipo, TRIM($B30),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30" s="89" t="str">
        <f t="array" ref="M30">IFNA(
  LET(
    colaborador, TRIM(M$1),
    tipo, TRIM($B30),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30" s="89" t="str">
        <f t="array" ref="N30">IFNA(
  LET(
    colaborador, TRIM(N$1),
    tipo, TRIM($B30),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30" s="89">
        <f t="array" ref="O30">IFNA(
  LET(
    colaborador, TRIM(O$1),
    tipo, TRIM($B30),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31">
      <c r="A31" s="88" t="s">
        <v>148</v>
      </c>
      <c r="B31" s="88"/>
      <c r="C31" s="89" t="str">
        <f t="array" ref="C31">IFNA(
  LET(
    colaborador, TRIM(C$1),
    tipo, TRIM($B31),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31" s="89">
        <f t="array" ref="D31">IFNA(
  LET(
    colaborador, TRIM(D$1),
    tipo, TRIM($B31),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31" s="89">
        <f t="array" ref="E31">IFNA(
  LET(
    colaborador, TRIM(E$1),
    tipo, TRIM($B31),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31" s="89" t="str">
        <f t="array" ref="F31">IFNA(
  LET(
    colaborador, TRIM(F$1),
    tipo, TRIM($B31),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31" s="89" t="str">
        <f t="array" ref="G31">IFNA(
  LET(
    colaborador, TRIM(G$1),
    tipo, TRIM($B31),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31" s="88" t="str">
        <f t="array" ref="H31">IFNA(
  LET(
    colaborador, TRIM(H$1),
    tipo, TRIM($B31),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31" s="89" t="str">
        <f t="array" ref="I31">IFNA(
  LET(
    colaborador, TRIM(I$1),
    tipo, TRIM($B31),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31" s="89" t="str">
        <f t="array" ref="J31">IFNA(
  LET(
    colaborador, TRIM(J$1),
    tipo, TRIM($B31),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31" s="89" t="str">
        <f t="array" ref="K31">IFNA(
  LET(
    colaborador, TRIM(K$1),
    tipo, TRIM($B31),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31" s="89" t="str">
        <f t="array" ref="L31">IFNA(
  LET(
    colaborador, TRIM(L$1),
    tipo, TRIM($B31),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31" s="89" t="str">
        <f t="array" ref="M31">IFNA(
  LET(
    colaborador, TRIM(M$1),
    tipo, TRIM($B31),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31" s="89" t="str">
        <f t="array" ref="N31">IFNA(
  LET(
    colaborador, TRIM(N$1),
    tipo, TRIM($B31),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31" s="89">
        <f t="array" ref="O31">IFNA(
  LET(
    colaborador, TRIM(O$1),
    tipo, TRIM($B31),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32">
      <c r="A32" s="88" t="s">
        <v>148</v>
      </c>
      <c r="B32" s="88"/>
      <c r="C32" s="89" t="str">
        <f t="array" ref="C32">IFNA(
  LET(
    colaborador, TRIM(C$1),
    tipo, TRIM($B32),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32" s="89">
        <f t="array" ref="D32">IFNA(
  LET(
    colaborador, TRIM(D$1),
    tipo, TRIM($B32),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32" s="89">
        <f t="array" ref="E32">IFNA(
  LET(
    colaborador, TRIM(E$1),
    tipo, TRIM($B32),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32" s="89" t="str">
        <f t="array" ref="F32">IFNA(
  LET(
    colaborador, TRIM(F$1),
    tipo, TRIM($B32),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32" s="89" t="str">
        <f t="array" ref="G32">IFNA(
  LET(
    colaborador, TRIM(G$1),
    tipo, TRIM($B32),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32" s="88" t="str">
        <f t="array" ref="H32">IFNA(
  LET(
    colaborador, TRIM(H$1),
    tipo, TRIM($B32),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32" s="89" t="str">
        <f t="array" ref="I32">IFNA(
  LET(
    colaborador, TRIM(I$1),
    tipo, TRIM($B32),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32" s="89" t="str">
        <f t="array" ref="J32">IFNA(
  LET(
    colaborador, TRIM(J$1),
    tipo, TRIM($B32),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32" s="89" t="str">
        <f t="array" ref="K32">IFNA(
  LET(
    colaborador, TRIM(K$1),
    tipo, TRIM($B32),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32" s="89" t="str">
        <f t="array" ref="L32">IFNA(
  LET(
    colaborador, TRIM(L$1),
    tipo, TRIM($B32),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32" s="89" t="str">
        <f t="array" ref="M32">IFNA(
  LET(
    colaborador, TRIM(M$1),
    tipo, TRIM($B32),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32" s="89" t="str">
        <f t="array" ref="N32">IFNA(
  LET(
    colaborador, TRIM(N$1),
    tipo, TRIM($B32),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32" s="89">
        <f t="array" ref="O32">IFNA(
  LET(
    colaborador, TRIM(O$1),
    tipo, TRIM($B32),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33">
      <c r="A33" s="88" t="s">
        <v>148</v>
      </c>
      <c r="B33" s="88"/>
      <c r="C33" s="89" t="str">
        <f t="array" ref="C33">IFNA(
  LET(
    colaborador, TRIM(C$1),
    tipo, TRIM($B33),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33" s="89">
        <f t="array" ref="D33">IFNA(
  LET(
    colaborador, TRIM(D$1),
    tipo, TRIM($B33),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33" s="89">
        <f t="array" ref="E33">IFNA(
  LET(
    colaborador, TRIM(E$1),
    tipo, TRIM($B33),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33" s="89" t="str">
        <f t="array" ref="F33">IFNA(
  LET(
    colaborador, TRIM(F$1),
    tipo, TRIM($B33),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33" s="89" t="str">
        <f t="array" ref="G33">IFNA(
  LET(
    colaborador, TRIM(G$1),
    tipo, TRIM($B33),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33" s="88" t="str">
        <f t="array" ref="H33">IFNA(
  LET(
    colaborador, TRIM(H$1),
    tipo, TRIM($B33),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33" s="89" t="str">
        <f t="array" ref="I33">IFNA(
  LET(
    colaborador, TRIM(I$1),
    tipo, TRIM($B33),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33" s="89" t="str">
        <f t="array" ref="J33">IFNA(
  LET(
    colaborador, TRIM(J$1),
    tipo, TRIM($B33),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33" s="89" t="str">
        <f t="array" ref="K33">IFNA(
  LET(
    colaborador, TRIM(K$1),
    tipo, TRIM($B33),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33" s="89" t="str">
        <f t="array" ref="L33">IFNA(
  LET(
    colaborador, TRIM(L$1),
    tipo, TRIM($B33),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33" s="89" t="str">
        <f t="array" ref="M33">IFNA(
  LET(
    colaborador, TRIM(M$1),
    tipo, TRIM($B33),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33" s="89" t="str">
        <f t="array" ref="N33">IFNA(
  LET(
    colaborador, TRIM(N$1),
    tipo, TRIM($B33),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33" s="89">
        <f t="array" ref="O33">IFNA(
  LET(
    colaborador, TRIM(O$1),
    tipo, TRIM($B33),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34">
      <c r="A34" s="88" t="s">
        <v>148</v>
      </c>
      <c r="B34" s="88"/>
      <c r="C34" s="89" t="str">
        <f t="array" ref="C34">IFNA(
  LET(
    colaborador, TRIM(C$1),
    tipo, TRIM($B34),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34" s="89">
        <f t="array" ref="D34">IFNA(
  LET(
    colaborador, TRIM(D$1),
    tipo, TRIM($B34),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34" s="89">
        <f t="array" ref="E34">IFNA(
  LET(
    colaborador, TRIM(E$1),
    tipo, TRIM($B34),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34" s="89" t="str">
        <f t="array" ref="F34">IFNA(
  LET(
    colaborador, TRIM(F$1),
    tipo, TRIM($B34),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34" s="89" t="str">
        <f t="array" ref="G34">IFNA(
  LET(
    colaborador, TRIM(G$1),
    tipo, TRIM($B34),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34" s="88" t="str">
        <f t="array" ref="H34">IFNA(
  LET(
    colaborador, TRIM(H$1),
    tipo, TRIM($B34),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34" s="89" t="str">
        <f t="array" ref="I34">IFNA(
  LET(
    colaborador, TRIM(I$1),
    tipo, TRIM($B34),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34" s="89" t="str">
        <f t="array" ref="J34">IFNA(
  LET(
    colaborador, TRIM(J$1),
    tipo, TRIM($B34),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34" s="89" t="str">
        <f t="array" ref="K34">IFNA(
  LET(
    colaborador, TRIM(K$1),
    tipo, TRIM($B34),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34" s="89" t="str">
        <f t="array" ref="L34">IFNA(
  LET(
    colaborador, TRIM(L$1),
    tipo, TRIM($B34),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34" s="89" t="str">
        <f t="array" ref="M34">IFNA(
  LET(
    colaborador, TRIM(M$1),
    tipo, TRIM($B34),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34" s="89" t="str">
        <f t="array" ref="N34">IFNA(
  LET(
    colaborador, TRIM(N$1),
    tipo, TRIM($B34),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34" s="89">
        <f t="array" ref="O34">IFNA(
  LET(
    colaborador, TRIM(O$1),
    tipo, TRIM($B34),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35">
      <c r="A35" s="88" t="s">
        <v>148</v>
      </c>
      <c r="B35" s="88"/>
      <c r="C35" s="89" t="str">
        <f t="array" ref="C35">IFNA(
  LET(
    colaborador, TRIM(C$1),
    tipo, TRIM($B35),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35" s="89">
        <f t="array" ref="D35">IFNA(
  LET(
    colaborador, TRIM(D$1),
    tipo, TRIM($B35),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35" s="89">
        <f t="array" ref="E35">IFNA(
  LET(
    colaborador, TRIM(E$1),
    tipo, TRIM($B35),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35" s="89" t="str">
        <f t="array" ref="F35">IFNA(
  LET(
    colaborador, TRIM(F$1),
    tipo, TRIM($B35),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35" s="89" t="str">
        <f t="array" ref="G35">IFNA(
  LET(
    colaborador, TRIM(G$1),
    tipo, TRIM($B35),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35" s="88" t="str">
        <f t="array" ref="H35">IFNA(
  LET(
    colaborador, TRIM(H$1),
    tipo, TRIM($B35),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35" s="89" t="str">
        <f t="array" ref="I35">IFNA(
  LET(
    colaborador, TRIM(I$1),
    tipo, TRIM($B35),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35" s="89" t="str">
        <f t="array" ref="J35">IFNA(
  LET(
    colaborador, TRIM(J$1),
    tipo, TRIM($B35),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35" s="89" t="str">
        <f t="array" ref="K35">IFNA(
  LET(
    colaborador, TRIM(K$1),
    tipo, TRIM($B35),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35" s="89" t="str">
        <f t="array" ref="L35">IFNA(
  LET(
    colaborador, TRIM(L$1),
    tipo, TRIM($B35),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35" s="89" t="str">
        <f t="array" ref="M35">IFNA(
  LET(
    colaborador, TRIM(M$1),
    tipo, TRIM($B35),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35" s="89" t="str">
        <f t="array" ref="N35">IFNA(
  LET(
    colaborador, TRIM(N$1),
    tipo, TRIM($B35),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O35" s="89">
        <f t="array" ref="O35">IFNA(
  LET(
    colaborador, TRIM(O$1),
    tipo, TRIM($B35),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36">
      <c r="A36" s="88" t="s">
        <v>148</v>
      </c>
      <c r="B36" s="88"/>
      <c r="C36" s="89"/>
      <c r="D36" s="89"/>
      <c r="E36" s="89"/>
      <c r="F36" s="89"/>
      <c r="G36" s="89"/>
      <c r="H36" s="88"/>
      <c r="I36" s="89"/>
      <c r="J36" s="89"/>
      <c r="K36" s="89"/>
      <c r="L36" s="89"/>
      <c r="M36" s="89"/>
      <c r="N36" s="89"/>
      <c r="O36" s="89"/>
    </row>
    <row r="37">
      <c r="A37" s="94" t="s">
        <v>148</v>
      </c>
      <c r="B37" s="92" t="s">
        <v>150</v>
      </c>
      <c r="C37" s="93">
        <f t="shared" ref="C37:O37" si="1">SUM(C3:C35)</f>
        <v>0</v>
      </c>
      <c r="D37" s="93">
        <f t="shared" si="1"/>
        <v>0</v>
      </c>
      <c r="E37" s="93">
        <f t="shared" si="1"/>
        <v>0</v>
      </c>
      <c r="F37" s="93">
        <f t="shared" si="1"/>
        <v>0</v>
      </c>
      <c r="G37" s="93">
        <f t="shared" si="1"/>
        <v>0</v>
      </c>
      <c r="H37" s="93">
        <f t="shared" si="1"/>
        <v>0</v>
      </c>
      <c r="I37" s="93">
        <f t="shared" si="1"/>
        <v>0</v>
      </c>
      <c r="J37" s="93">
        <f t="shared" si="1"/>
        <v>0</v>
      </c>
      <c r="K37" s="93">
        <f t="shared" si="1"/>
        <v>0</v>
      </c>
      <c r="L37" s="93">
        <f t="shared" si="1"/>
        <v>0</v>
      </c>
      <c r="M37" s="93">
        <f t="shared" si="1"/>
        <v>0</v>
      </c>
      <c r="N37" s="93">
        <f t="shared" si="1"/>
        <v>0</v>
      </c>
      <c r="O37" s="93">
        <f t="shared" si="1"/>
        <v>0</v>
      </c>
    </row>
    <row r="38">
      <c r="A38" s="90" t="s">
        <v>149</v>
      </c>
      <c r="B38" s="88" t="str">
        <f>IFERROR(__xludf.DUMMYFUNCTION("UNIQUE(
  VSTACK(
    FILTER(
      Fevereiro26!B1:B1027,
      Fevereiro26!B1:B1027&lt;&gt;"""",
      SCAN(
        0,
        Fevereiro26!B1:B1027,
        LAMBDA(acc,x, acc + N(LOWER(TRIM(x))=""tipo"") - N(LOWER(TRIM(x))=""total""))
      )&gt;0,
      LOWER(T"&amp;"RIM(Fevereiro26!B1:B1027))&lt;&gt;""tipo""
    ),
    FILTER(
      Fevereiro26!F1:F988,
      Fevereiro26!F1:F988&lt;&gt;"""",
      SCAN(
        0,
        Fevereiro26!F1:F988,
        LAMBDA(acc,x, acc + N(LOWER(TRIM(x))=""tipo"") - N(LOWER(TRIM(x))=""total""))
 "&amp;"     )&gt;0,
      LOWER(TRIM(Fevereiro26!F1:F988))&lt;&gt;""tipo""
    )
  )
)"),"Transporte")</f>
        <v>Transporte</v>
      </c>
      <c r="C38" s="89">
        <f t="array" ref="C38">IFNA(
  LET(
    colaborador, TRIM(C$1),
    tipo, TRIM($B38),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675.37</v>
      </c>
      <c r="D38" s="89">
        <f t="array" ref="D38">IFNA(
  LET(
    colaborador, TRIM(D$1),
    tipo, TRIM($B38),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38" s="89">
        <f t="array" ref="E38">IFNA(
  LET(
    colaborador, TRIM(E$1),
    tipo, TRIM($B38),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38" s="89">
        <f t="array" ref="F38">IFNA(
  LET(
    colaborador, TRIM(F$1),
    tipo, TRIM($B38),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38" s="89">
        <f t="array" ref="G38">IFNA(
  LET(
    colaborador, TRIM(G$1),
    tipo, TRIM($B38),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209.99</v>
      </c>
      <c r="H38" s="89">
        <f t="array" ref="H38">IFNA(
  LET(
    colaborador, TRIM(H$1),
    tipo, TRIM($B38),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38" s="88" t="str">
        <f t="array" ref="I38">IFNA(
  LET(
    colaborador, TRIM(I$1),
    tipo, TRIM($B38),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/>
      </c>
      <c r="J38" s="88">
        <f t="array" ref="J38">IFNA(
  LET(
    colaborador, TRIM(J$1),
    tipo, TRIM($B38),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493.59</v>
      </c>
      <c r="K38" s="88">
        <f t="array" ref="K38">IFNA(
  LET(
    colaborador, TRIM(K$1),
    tipo, TRIM($B38),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200.26</v>
      </c>
      <c r="L38" s="88">
        <f t="array" ref="L38">IFNA(
  LET(
    colaborador, TRIM(L$1),
    tipo, TRIM($B38),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92.21</v>
      </c>
      <c r="M38" s="88">
        <f t="array" ref="M38">IFNA(
  LET(
    colaborador, TRIM(M$1),
    tipo, TRIM($B38),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125.83</v>
      </c>
      <c r="N38" s="88">
        <f t="array" ref="N38">IFNA(
  LET(
    colaborador, TRIM(N$1),
    tipo, TRIM($B38),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38" s="88">
        <f t="array" ref="O38">IFNA(
  LET(
    colaborador, TRIM(O$1),
    tipo, TRIM($B38),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39">
      <c r="A39" s="90" t="s">
        <v>149</v>
      </c>
      <c r="B39" s="88" t="str">
        <f>IFERROR(__xludf.DUMMYFUNCTION("""COMPUTED_VALUE"""),"Alimentação")</f>
        <v>Alimentação</v>
      </c>
      <c r="C39" s="89">
        <f t="array" ref="C39">IFNA(
  LET(
    colaborador, TRIM(C$1),
    tipo, TRIM($B39),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45.04</v>
      </c>
      <c r="D39" s="89" t="str">
        <f t="array" ref="D39">IFNA(
  LET(
    colaborador, TRIM(D$1),
    tipo, TRIM($B39),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/>
      </c>
      <c r="E39" s="89">
        <f t="array" ref="E39">IFNA(
  LET(
    colaborador, TRIM(E$1),
    tipo, TRIM($B39),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39" s="89">
        <f t="array" ref="F39">IFNA(
  LET(
    colaborador, TRIM(F$1),
    tipo, TRIM($B39),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39" s="89">
        <f t="array" ref="G39">IFNA(
  LET(
    colaborador, TRIM(G$1),
    tipo, TRIM($B39),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110.53</v>
      </c>
      <c r="H39" s="89">
        <f t="array" ref="H39">IFNA(
  LET(
    colaborador, TRIM(H$1),
    tipo, TRIM($B39),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46.9</v>
      </c>
      <c r="I39" s="88" t="str">
        <f t="array" ref="I39">IFNA(
  LET(
    colaborador, TRIM(I$1),
    tipo, TRIM($B39),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/>
      </c>
      <c r="J39" s="88">
        <f t="array" ref="J39">IFNA(
  LET(
    colaborador, TRIM(J$1),
    tipo, TRIM($B39),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39" s="88" t="str">
        <f t="array" ref="K39">IFNA(
  LET(
    colaborador, TRIM(K$1),
    tipo, TRIM($B39),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/>
      </c>
      <c r="L39" s="88">
        <f t="array" ref="L39">IFNA(
  LET(
    colaborador, TRIM(L$1),
    tipo, TRIM($B39),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39" s="88">
        <f t="array" ref="M39">IFNA(
  LET(
    colaborador, TRIM(M$1),
    tipo, TRIM($B39),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39" s="88">
        <f t="array" ref="N39">IFNA(
  LET(
    colaborador, TRIM(N$1),
    tipo, TRIM($B39),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39" s="88">
        <f t="array" ref="O39">IFNA(
  LET(
    colaborador, TRIM(O$1),
    tipo, TRIM($B39),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40">
      <c r="A40" s="90" t="s">
        <v>149</v>
      </c>
      <c r="B40" s="88" t="str">
        <f>IFERROR(__xludf.DUMMYFUNCTION("""COMPUTED_VALUE"""),"Aniversariante do Mês + Comemorações")</f>
        <v>Aniversariante do Mês + Comemorações</v>
      </c>
      <c r="C40" s="89">
        <f t="array" ref="C40">IFNA(
  LET(
    colaborador, TRIM(C$1),
    tipo, TRIM($B40),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598.67</v>
      </c>
      <c r="D40" s="89">
        <f t="array" ref="D40">IFNA(
  LET(
    colaborador, TRIM(D$1),
    tipo, TRIM($B40),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40" s="89">
        <f t="array" ref="E40">IFNA(
  LET(
    colaborador, TRIM(E$1),
    tipo, TRIM($B40),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40" s="89">
        <f t="array" ref="F40">IFNA(
  LET(
    colaborador, TRIM(F$1),
    tipo, TRIM($B40),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40" s="89">
        <f t="array" ref="G40">IFNA(
  LET(
    colaborador, TRIM(G$1),
    tipo, TRIM($B40),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40" s="89">
        <f t="array" ref="H40">IFNA(
  LET(
    colaborador, TRIM(H$1),
    tipo, TRIM($B40),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40" s="88">
        <f t="array" ref="I40">IFNA(
  LET(
    colaborador, TRIM(I$1),
    tipo, TRIM($B40),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40" s="88">
        <f t="array" ref="J40">IFNA(
  LET(
    colaborador, TRIM(J$1),
    tipo, TRIM($B40),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40" s="88">
        <f t="array" ref="K40">IFNA(
  LET(
    colaborador, TRIM(K$1),
    tipo, TRIM($B40),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40" s="88">
        <f t="array" ref="L40">IFNA(
  LET(
    colaborador, TRIM(L$1),
    tipo, TRIM($B40),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40" s="88">
        <f t="array" ref="M40">IFNA(
  LET(
    colaborador, TRIM(M$1),
    tipo, TRIM($B40),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40" s="88">
        <f t="array" ref="N40">IFNA(
  LET(
    colaborador, TRIM(N$1),
    tipo, TRIM($B40),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40" s="88">
        <f t="array" ref="O40">IFNA(
  LET(
    colaborador, TRIM(O$1),
    tipo, TRIM($B40),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41">
      <c r="A41" s="90" t="s">
        <v>149</v>
      </c>
      <c r="B41" s="88" t="str">
        <f>IFERROR(__xludf.DUMMYFUNCTION("""COMPUTED_VALUE"""),"Compra do Pc Biel 3/6")</f>
        <v>Compra do Pc Biel 3/6</v>
      </c>
      <c r="C41" s="89">
        <f t="array" ref="C41">IFNA(
  LET(
    colaborador, TRIM(C$1),
    tipo, TRIM($B41),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379</v>
      </c>
      <c r="D41" s="89">
        <f t="array" ref="D41">IFNA(
  LET(
    colaborador, TRIM(D$1),
    tipo, TRIM($B41),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41" s="89">
        <f t="array" ref="E41">IFNA(
  LET(
    colaborador, TRIM(E$1),
    tipo, TRIM($B41),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41" s="89">
        <f t="array" ref="F41">IFNA(
  LET(
    colaborador, TRIM(F$1),
    tipo, TRIM($B41),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41" s="89">
        <f t="array" ref="G41">IFNA(
  LET(
    colaborador, TRIM(G$1),
    tipo, TRIM($B41),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41" s="89">
        <f t="array" ref="H41">IFNA(
  LET(
    colaborador, TRIM(H$1),
    tipo, TRIM($B41),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41" s="88">
        <f t="array" ref="I41">IFNA(
  LET(
    colaborador, TRIM(I$1),
    tipo, TRIM($B41),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41" s="88">
        <f t="array" ref="J41">IFNA(
  LET(
    colaborador, TRIM(J$1),
    tipo, TRIM($B41),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41" s="88">
        <f t="array" ref="K41">IFNA(
  LET(
    colaborador, TRIM(K$1),
    tipo, TRIM($B41),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41" s="88">
        <f t="array" ref="L41">IFNA(
  LET(
    colaborador, TRIM(L$1),
    tipo, TRIM($B41),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41" s="88">
        <f t="array" ref="M41">IFNA(
  LET(
    colaborador, TRIM(M$1),
    tipo, TRIM($B41),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41" s="88">
        <f t="array" ref="N41">IFNA(
  LET(
    colaborador, TRIM(N$1),
    tipo, TRIM($B41),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41" s="88">
        <f t="array" ref="O41">IFNA(
  LET(
    colaborador, TRIM(O$1),
    tipo, TRIM($B41),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42">
      <c r="A42" s="90" t="s">
        <v>149</v>
      </c>
      <c r="B42" s="88" t="str">
        <f>IFERROR(__xludf.DUMMYFUNCTION("""COMPUTED_VALUE"""),"Bomba de Água + pizza")</f>
        <v>Bomba de Água + pizza</v>
      </c>
      <c r="C42" s="89">
        <f t="array" ref="C42">IFNA(
  LET(
    colaborador, TRIM(C$1),
    tipo, TRIM($B42),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284.52</v>
      </c>
      <c r="D42" s="89">
        <f t="array" ref="D42">IFNA(
  LET(
    colaborador, TRIM(D$1),
    tipo, TRIM($B42),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42" s="89">
        <f t="array" ref="E42">IFNA(
  LET(
    colaborador, TRIM(E$1),
    tipo, TRIM($B42),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42" s="89">
        <f t="array" ref="F42">IFNA(
  LET(
    colaborador, TRIM(F$1),
    tipo, TRIM($B42),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42" s="89">
        <f t="array" ref="G42">IFNA(
  LET(
    colaborador, TRIM(G$1),
    tipo, TRIM($B42),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42" s="89">
        <f t="array" ref="H42">IFNA(
  LET(
    colaborador, TRIM(H$1),
    tipo, TRIM($B42),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42" s="88">
        <f t="array" ref="I42">IFNA(
  LET(
    colaborador, TRIM(I$1),
    tipo, TRIM($B42),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42" s="88">
        <f t="array" ref="J42">IFNA(
  LET(
    colaborador, TRIM(J$1),
    tipo, TRIM($B42),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42" s="88">
        <f t="array" ref="K42">IFNA(
  LET(
    colaborador, TRIM(K$1),
    tipo, TRIM($B42),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42" s="88">
        <f t="array" ref="L42">IFNA(
  LET(
    colaborador, TRIM(L$1),
    tipo, TRIM($B42),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42" s="88">
        <f t="array" ref="M42">IFNA(
  LET(
    colaborador, TRIM(M$1),
    tipo, TRIM($B42),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42" s="88">
        <f t="array" ref="N42">IFNA(
  LET(
    colaborador, TRIM(N$1),
    tipo, TRIM($B42),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42" s="88">
        <f t="array" ref="O42">IFNA(
  LET(
    colaborador, TRIM(O$1),
    tipo, TRIM($B42),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43">
      <c r="A43" s="90" t="s">
        <v>149</v>
      </c>
      <c r="B43" s="88" t="str">
        <f>IFERROR(__xludf.DUMMYFUNCTION("""COMPUTED_VALUE"""),"Transporte/Manutenção")</f>
        <v>Transporte/Manutenção</v>
      </c>
      <c r="C43" s="89">
        <f t="array" ref="C43">IFNA(
  LET(
    colaborador, TRIM(C$1),
    tipo, TRIM($B43),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43" s="89" t="str">
        <f t="array" ref="D43">IFNA(
  LET(
    colaborador, TRIM(D$1),
    tipo, TRIM($B43),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/>
      </c>
      <c r="E43" s="89">
        <f t="array" ref="E43">IFNA(
  LET(
    colaborador, TRIM(E$1),
    tipo, TRIM($B43),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43" s="89" t="str">
        <f t="array" ref="F43">IFNA(
  LET(
    colaborador, TRIM(F$1),
    tipo, TRIM($B43),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/>
      </c>
      <c r="G43" s="89">
        <f t="array" ref="G43">IFNA(
  LET(
    colaborador, TRIM(G$1),
    tipo, TRIM($B43),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43" s="89">
        <f t="array" ref="H43">IFNA(
  LET(
    colaborador, TRIM(H$1),
    tipo, TRIM($B43),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43" s="88">
        <f t="array" ref="I43">IFNA(
  LET(
    colaborador, TRIM(I$1),
    tipo, TRIM($B43),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43" s="88">
        <f t="array" ref="J43">IFNA(
  LET(
    colaborador, TRIM(J$1),
    tipo, TRIM($B43),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43" s="88">
        <f t="array" ref="K43">IFNA(
  LET(
    colaborador, TRIM(K$1),
    tipo, TRIM($B43),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43" s="88">
        <f t="array" ref="L43">IFNA(
  LET(
    colaborador, TRIM(L$1),
    tipo, TRIM($B43),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43" s="88">
        <f t="array" ref="M43">IFNA(
  LET(
    colaborador, TRIM(M$1),
    tipo, TRIM($B43),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43" s="88">
        <f t="array" ref="N43">IFNA(
  LET(
    colaborador, TRIM(N$1),
    tipo, TRIM($B43),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43" s="88">
        <f t="array" ref="O43">IFNA(
  LET(
    colaborador, TRIM(O$1),
    tipo, TRIM($B43),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44">
      <c r="A44" s="90" t="s">
        <v>149</v>
      </c>
      <c r="B44" s="88" t="str">
        <f>IFERROR(__xludf.DUMMYFUNCTION("""COMPUTED_VALUE"""),"Plano telefone + Internet chip xpe")</f>
        <v>Plano telefone + Internet chip xpe</v>
      </c>
      <c r="C44" s="89">
        <f t="array" ref="C44">IFNA(
  LET(
    colaborador, TRIM(C$1),
    tipo, TRIM($B44),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44" s="89">
        <f t="array" ref="D44">IFNA(
  LET(
    colaborador, TRIM(D$1),
    tipo, TRIM($B44),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88.88</v>
      </c>
      <c r="E44" s="89">
        <f t="array" ref="E44">IFNA(
  LET(
    colaborador, TRIM(E$1),
    tipo, TRIM($B44),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44" s="89">
        <f t="array" ref="F44">IFNA(
  LET(
    colaborador, TRIM(F$1),
    tipo, TRIM($B44),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44" s="89">
        <f t="array" ref="G44">IFNA(
  LET(
    colaborador, TRIM(G$1),
    tipo, TRIM($B44),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44" s="89">
        <f t="array" ref="H44">IFNA(
  LET(
    colaborador, TRIM(H$1),
    tipo, TRIM($B44),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44" s="88">
        <f t="array" ref="I44">IFNA(
  LET(
    colaborador, TRIM(I$1),
    tipo, TRIM($B44),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44" s="88">
        <f t="array" ref="J44">IFNA(
  LET(
    colaborador, TRIM(J$1),
    tipo, TRIM($B44),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44" s="88">
        <f t="array" ref="K44">IFNA(
  LET(
    colaborador, TRIM(K$1),
    tipo, TRIM($B44),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44" s="88">
        <f t="array" ref="L44">IFNA(
  LET(
    colaborador, TRIM(L$1),
    tipo, TRIM($B44),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44" s="88">
        <f t="array" ref="M44">IFNA(
  LET(
    colaborador, TRIM(M$1),
    tipo, TRIM($B44),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44" s="88">
        <f t="array" ref="N44">IFNA(
  LET(
    colaborador, TRIM(N$1),
    tipo, TRIM($B44),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44" s="88">
        <f t="array" ref="O44">IFNA(
  LET(
    colaborador, TRIM(O$1),
    tipo, TRIM($B44),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45">
      <c r="A45" s="90" t="s">
        <v>149</v>
      </c>
      <c r="B45" s="88" t="str">
        <f>IFERROR(__xludf.DUMMYFUNCTION("""COMPUTED_VALUE"""),"Cadeiras + Microfone 4/14")</f>
        <v>Cadeiras + Microfone 4/14</v>
      </c>
      <c r="C45" s="89">
        <f t="array" ref="C45">IFNA(
  LET(
    colaborador, TRIM(C$1),
    tipo, TRIM($B45),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45" s="89">
        <f t="array" ref="D45">IFNA(
  LET(
    colaborador, TRIM(D$1),
    tipo, TRIM($B45),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221.44</v>
      </c>
      <c r="E45" s="89">
        <f t="array" ref="E45">IFNA(
  LET(
    colaborador, TRIM(E$1),
    tipo, TRIM($B45),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45" s="89">
        <f t="array" ref="F45">IFNA(
  LET(
    colaborador, TRIM(F$1),
    tipo, TRIM($B45),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45" s="89">
        <f t="array" ref="G45">IFNA(
  LET(
    colaborador, TRIM(G$1),
    tipo, TRIM($B45),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45" s="89">
        <f t="array" ref="H45">IFNA(
  LET(
    colaborador, TRIM(H$1),
    tipo, TRIM($B45),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45" s="88">
        <f t="array" ref="I45">IFNA(
  LET(
    colaborador, TRIM(I$1),
    tipo, TRIM($B45),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45" s="88">
        <f t="array" ref="J45">IFNA(
  LET(
    colaborador, TRIM(J$1),
    tipo, TRIM($B45),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45" s="88">
        <f t="array" ref="K45">IFNA(
  LET(
    colaborador, TRIM(K$1),
    tipo, TRIM($B45),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45" s="88">
        <f t="array" ref="L45">IFNA(
  LET(
    colaborador, TRIM(L$1),
    tipo, TRIM($B45),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45" s="88">
        <f t="array" ref="M45">IFNA(
  LET(
    colaborador, TRIM(M$1),
    tipo, TRIM($B45),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45" s="88">
        <f t="array" ref="N45">IFNA(
  LET(
    colaborador, TRIM(N$1),
    tipo, TRIM($B45),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45" s="88">
        <f t="array" ref="O45">IFNA(
  LET(
    colaborador, TRIM(O$1),
    tipo, TRIM($B45),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46">
      <c r="A46" s="90" t="s">
        <v>149</v>
      </c>
      <c r="B46" s="88" t="str">
        <f>IFERROR(__xludf.DUMMYFUNCTION("""COMPUTED_VALUE"""),"Impressora 3D 2/12")</f>
        <v>Impressora 3D 2/12</v>
      </c>
      <c r="C46" s="89">
        <f t="array" ref="C46">IFNA(
  LET(
    colaborador, TRIM(C$1),
    tipo, TRIM($B46),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46" s="89">
        <f t="array" ref="D46">IFNA(
  LET(
    colaborador, TRIM(D$1),
    tipo, TRIM($B46),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284.99</v>
      </c>
      <c r="E46" s="89">
        <f t="array" ref="E46">IFNA(
  LET(
    colaborador, TRIM(E$1),
    tipo, TRIM($B46),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46" s="89">
        <f t="array" ref="F46">IFNA(
  LET(
    colaborador, TRIM(F$1),
    tipo, TRIM($B46),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46" s="89">
        <f t="array" ref="G46">IFNA(
  LET(
    colaborador, TRIM(G$1),
    tipo, TRIM($B46),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46" s="89">
        <f t="array" ref="H46">IFNA(
  LET(
    colaborador, TRIM(H$1),
    tipo, TRIM($B46),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46" s="88">
        <f t="array" ref="I46">IFNA(
  LET(
    colaborador, TRIM(I$1),
    tipo, TRIM($B46),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46" s="88">
        <f t="array" ref="J46">IFNA(
  LET(
    colaborador, TRIM(J$1),
    tipo, TRIM($B46),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46" s="88">
        <f t="array" ref="K46">IFNA(
  LET(
    colaborador, TRIM(K$1),
    tipo, TRIM($B46),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46" s="88">
        <f t="array" ref="L46">IFNA(
  LET(
    colaborador, TRIM(L$1),
    tipo, TRIM($B46),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46" s="88">
        <f t="array" ref="M46">IFNA(
  LET(
    colaborador, TRIM(M$1),
    tipo, TRIM($B46),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46" s="88">
        <f t="array" ref="N46">IFNA(
  LET(
    colaborador, TRIM(N$1),
    tipo, TRIM($B46),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46" s="88">
        <f t="array" ref="O46">IFNA(
  LET(
    colaborador, TRIM(O$1),
    tipo, TRIM($B46),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47">
      <c r="A47" s="90" t="s">
        <v>149</v>
      </c>
      <c r="B47" s="88" t="str">
        <f>IFERROR(__xludf.DUMMYFUNCTION("""COMPUTED_VALUE"""),"Combustível")</f>
        <v>Combustível</v>
      </c>
      <c r="C47" s="89">
        <f t="array" ref="C47">IFNA(
  LET(
    colaborador, TRIM(C$1),
    tipo, TRIM($B47),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47" s="89">
        <f t="array" ref="D47">IFNA(
  LET(
    colaborador, TRIM(D$1),
    tipo, TRIM($B47),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47" s="89" t="str">
        <f t="array" ref="E47">IFNA(
  LET(
    colaborador, TRIM(E$1),
    tipo, TRIM($B47),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/>
      </c>
      <c r="F47" s="89">
        <f t="array" ref="F47">IFNA(
  LET(
    colaborador, TRIM(F$1),
    tipo, TRIM($B47),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47" s="89">
        <f t="array" ref="G47">IFNA(
  LET(
    colaborador, TRIM(G$1),
    tipo, TRIM($B47),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47" s="89">
        <f t="array" ref="H47">IFNA(
  LET(
    colaborador, TRIM(H$1),
    tipo, TRIM($B47),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47" s="88">
        <f t="array" ref="I47">IFNA(
  LET(
    colaborador, TRIM(I$1),
    tipo, TRIM($B47),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47" s="88">
        <f t="array" ref="J47">IFNA(
  LET(
    colaborador, TRIM(J$1),
    tipo, TRIM($B47),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47" s="88">
        <f t="array" ref="K47">IFNA(
  LET(
    colaborador, TRIM(K$1),
    tipo, TRIM($B47),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47" s="88">
        <f t="array" ref="L47">IFNA(
  LET(
    colaborador, TRIM(L$1),
    tipo, TRIM($B47),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47" s="88">
        <f t="array" ref="M47">IFNA(
  LET(
    colaborador, TRIM(M$1),
    tipo, TRIM($B47),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47" s="88">
        <f t="array" ref="N47">IFNA(
  LET(
    colaborador, TRIM(N$1),
    tipo, TRIM($B47),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47" s="88">
        <f t="array" ref="O47">IFNA(
  LET(
    colaborador, TRIM(O$1),
    tipo, TRIM($B47),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48">
      <c r="A48" s="90" t="s">
        <v>149</v>
      </c>
      <c r="B48" s="88" t="str">
        <f>IFERROR(__xludf.DUMMYFUNCTION("""COMPUTED_VALUE"""),"Alimentação Visitas")</f>
        <v>Alimentação Visitas</v>
      </c>
      <c r="C48" s="89">
        <f t="array" ref="C48">IFNA(
  LET(
    colaborador, TRIM(C$1),
    tipo, TRIM($B48),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48" s="89">
        <f t="array" ref="D48">IFNA(
  LET(
    colaborador, TRIM(D$1),
    tipo, TRIM($B48),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48" s="89" t="str">
        <f t="array" ref="E48">IFNA(
  LET(
    colaborador, TRIM(E$1),
    tipo, TRIM($B48),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/>
      </c>
      <c r="F48" s="89">
        <f t="array" ref="F48">IFNA(
  LET(
    colaborador, TRIM(F$1),
    tipo, TRIM($B48),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48" s="89">
        <f t="array" ref="G48">IFNA(
  LET(
    colaborador, TRIM(G$1),
    tipo, TRIM($B48),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48" s="89">
        <f t="array" ref="H48">IFNA(
  LET(
    colaborador, TRIM(H$1),
    tipo, TRIM($B48),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48" s="88">
        <f t="array" ref="I48">IFNA(
  LET(
    colaborador, TRIM(I$1),
    tipo, TRIM($B48),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48" s="88">
        <f t="array" ref="J48">IFNA(
  LET(
    colaborador, TRIM(J$1),
    tipo, TRIM($B48),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48" s="88">
        <f t="array" ref="K48">IFNA(
  LET(
    colaborador, TRIM(K$1),
    tipo, TRIM($B48),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48" s="88">
        <f t="array" ref="L48">IFNA(
  LET(
    colaborador, TRIM(L$1),
    tipo, TRIM($B48),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48" s="88">
        <f t="array" ref="M48">IFNA(
  LET(
    colaborador, TRIM(M$1),
    tipo, TRIM($B48),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48" s="88">
        <f t="array" ref="N48">IFNA(
  LET(
    colaborador, TRIM(N$1),
    tipo, TRIM($B48),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48" s="88">
        <f t="array" ref="O48">IFNA(
  LET(
    colaborador, TRIM(O$1),
    tipo, TRIM($B48),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49">
      <c r="A49" s="90" t="s">
        <v>149</v>
      </c>
      <c r="B49" s="88" t="str">
        <f>IFERROR(__xludf.DUMMYFUNCTION("""COMPUTED_VALUE"""),"Uber")</f>
        <v>Uber</v>
      </c>
      <c r="C49" s="89">
        <f t="array" ref="C49">IFNA(
  LET(
    colaborador, TRIM(C$1),
    tipo, TRIM($B49),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49" s="89">
        <f t="array" ref="D49">IFNA(
  LET(
    colaborador, TRIM(D$1),
    tipo, TRIM($B49),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49" s="89" t="str">
        <f t="array" ref="E49">IFNA(
  LET(
    colaborador, TRIM(E$1),
    tipo, TRIM($B49),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/>
      </c>
      <c r="F49" s="89">
        <f t="array" ref="F49">IFNA(
  LET(
    colaborador, TRIM(F$1),
    tipo, TRIM($B49),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49" s="89">
        <f t="array" ref="G49">IFNA(
  LET(
    colaborador, TRIM(G$1),
    tipo, TRIM($B49),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49" s="89">
        <f t="array" ref="H49">IFNA(
  LET(
    colaborador, TRIM(H$1),
    tipo, TRIM($B49),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49" s="88">
        <f t="array" ref="I49">IFNA(
  LET(
    colaborador, TRIM(I$1),
    tipo, TRIM($B49),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49" s="88">
        <f t="array" ref="J49">IFNA(
  LET(
    colaborador, TRIM(J$1),
    tipo, TRIM($B49),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49" s="88">
        <f t="array" ref="K49">IFNA(
  LET(
    colaborador, TRIM(K$1),
    tipo, TRIM($B49),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49" s="88">
        <f t="array" ref="L49">IFNA(
  LET(
    colaborador, TRIM(L$1),
    tipo, TRIM($B49),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49" s="88">
        <f t="array" ref="M49">IFNA(
  LET(
    colaborador, TRIM(M$1),
    tipo, TRIM($B49),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49" s="88">
        <f t="array" ref="N49">IFNA(
  LET(
    colaborador, TRIM(N$1),
    tipo, TRIM($B49),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49" s="88">
        <f t="array" ref="O49">IFNA(
  LET(
    colaborador, TRIM(O$1),
    tipo, TRIM($B49),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50">
      <c r="A50" s="90" t="s">
        <v>149</v>
      </c>
      <c r="B50" s="88" t="str">
        <f>IFERROR(__xludf.DUMMYFUNCTION("""COMPUTED_VALUE"""),"Lojão do condomínio")</f>
        <v>Lojão do condomínio</v>
      </c>
      <c r="C50" s="89">
        <f t="array" ref="C50">IFNA(
  LET(
    colaborador, TRIM(C$1),
    tipo, TRIM($B50),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50" s="89">
        <f t="array" ref="D50">IFNA(
  LET(
    colaborador, TRIM(D$1),
    tipo, TRIM($B50),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50" s="89" t="str">
        <f t="array" ref="E50">IFNA(
  LET(
    colaborador, TRIM(E$1),
    tipo, TRIM($B50),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/>
      </c>
      <c r="F50" s="89">
        <f t="array" ref="F50">IFNA(
  LET(
    colaborador, TRIM(F$1),
    tipo, TRIM($B50),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50" s="89">
        <f t="array" ref="G50">IFNA(
  LET(
    colaborador, TRIM(G$1),
    tipo, TRIM($B50),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50" s="89">
        <f t="array" ref="H50">IFNA(
  LET(
    colaborador, TRIM(H$1),
    tipo, TRIM($B50),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50" s="88">
        <f t="array" ref="I50">IFNA(
  LET(
    colaborador, TRIM(I$1),
    tipo, TRIM($B50),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50" s="88">
        <f t="array" ref="J50">IFNA(
  LET(
    colaborador, TRIM(J$1),
    tipo, TRIM($B50),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50" s="88">
        <f t="array" ref="K50">IFNA(
  LET(
    colaborador, TRIM(K$1),
    tipo, TRIM($B50),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50" s="88">
        <f t="array" ref="L50">IFNA(
  LET(
    colaborador, TRIM(L$1),
    tipo, TRIM($B50),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50" s="88">
        <f t="array" ref="M50">IFNA(
  LET(
    colaborador, TRIM(M$1),
    tipo, TRIM($B50),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50" s="88">
        <f t="array" ref="N50">IFNA(
  LET(
    colaborador, TRIM(N$1),
    tipo, TRIM($B50),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50" s="88">
        <f t="array" ref="O50">IFNA(
  LET(
    colaborador, TRIM(O$1),
    tipo, TRIM($B50),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51">
      <c r="A51" s="90" t="s">
        <v>149</v>
      </c>
      <c r="B51" s="88" t="str">
        <f>IFERROR(__xludf.DUMMYFUNCTION("""COMPUTED_VALUE"""),"Curso MUC 11/12")</f>
        <v>Curso MUC 11/12</v>
      </c>
      <c r="C51" s="89">
        <f t="array" ref="C51">IFNA(
  LET(
    colaborador, TRIM(C$1),
    tipo, TRIM($B51),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51" s="89">
        <f t="array" ref="D51">IFNA(
  LET(
    colaborador, TRIM(D$1),
    tipo, TRIM($B51),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51" s="89">
        <f t="array" ref="E51">IFNA(
  LET(
    colaborador, TRIM(E$1),
    tipo, TRIM($B51),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99.7</v>
      </c>
      <c r="F51" s="89">
        <f t="array" ref="F51">IFNA(
  LET(
    colaborador, TRIM(F$1),
    tipo, TRIM($B51),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51" s="89">
        <f t="array" ref="G51">IFNA(
  LET(
    colaborador, TRIM(G$1),
    tipo, TRIM($B51),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51" s="89">
        <f t="array" ref="H51">IFNA(
  LET(
    colaborador, TRIM(H$1),
    tipo, TRIM($B51),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51" s="88">
        <f t="array" ref="I51">IFNA(
  LET(
    colaborador, TRIM(I$1),
    tipo, TRIM($B51),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51" s="88">
        <f t="array" ref="J51">IFNA(
  LET(
    colaborador, TRIM(J$1),
    tipo, TRIM($B51),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51" s="88">
        <f t="array" ref="K51">IFNA(
  LET(
    colaborador, TRIM(K$1),
    tipo, TRIM($B51),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51" s="88">
        <f t="array" ref="L51">IFNA(
  LET(
    colaborador, TRIM(L$1),
    tipo, TRIM($B51),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51" s="88">
        <f t="array" ref="M51">IFNA(
  LET(
    colaborador, TRIM(M$1),
    tipo, TRIM($B51),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51" s="88">
        <f t="array" ref="N51">IFNA(
  LET(
    colaborador, TRIM(N$1),
    tipo, TRIM($B51),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51" s="88">
        <f t="array" ref="O51">IFNA(
  LET(
    colaborador, TRIM(O$1),
    tipo, TRIM($B51),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52">
      <c r="A52" s="90" t="s">
        <v>149</v>
      </c>
      <c r="B52" s="88" t="str">
        <f>IFERROR(__xludf.DUMMYFUNCTION("""COMPUTED_VALUE"""),"ART")</f>
        <v>ART</v>
      </c>
      <c r="C52" s="89">
        <f t="array" ref="C52">IFNA(
  LET(
    colaborador, TRIM(C$1),
    tipo, TRIM($B52),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52" s="89">
        <f t="array" ref="D52">IFNA(
  LET(
    colaborador, TRIM(D$1),
    tipo, TRIM($B52),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52" s="89" t="str">
        <f t="array" ref="E52">IFNA(
  LET(
    colaborador, TRIM(E$1),
    tipo, TRIM($B52),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/>
      </c>
      <c r="F52" s="89">
        <f t="array" ref="F52">IFNA(
  LET(
    colaborador, TRIM(F$1),
    tipo, TRIM($B52),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52" s="89">
        <f t="array" ref="G52">IFNA(
  LET(
    colaborador, TRIM(G$1),
    tipo, TRIM($B52),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52" s="89">
        <f t="array" ref="H52">IFNA(
  LET(
    colaborador, TRIM(H$1),
    tipo, TRIM($B52),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52" s="88">
        <f t="array" ref="I52">IFNA(
  LET(
    colaborador, TRIM(I$1),
    tipo, TRIM($B52),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52" s="88">
        <f t="array" ref="J52">IFNA(
  LET(
    colaborador, TRIM(J$1),
    tipo, TRIM($B52),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52" s="88">
        <f t="array" ref="K52">IFNA(
  LET(
    colaborador, TRIM(K$1),
    tipo, TRIM($B52),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52" s="88">
        <f t="array" ref="L52">IFNA(
  LET(
    colaborador, TRIM(L$1),
    tipo, TRIM($B52),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52" s="88">
        <f t="array" ref="M52">IFNA(
  LET(
    colaborador, TRIM(M$1),
    tipo, TRIM($B52),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52" s="88">
        <f t="array" ref="N52">IFNA(
  LET(
    colaborador, TRIM(N$1),
    tipo, TRIM($B52),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52" s="88">
        <f t="array" ref="O52">IFNA(
  LET(
    colaborador, TRIM(O$1),
    tipo, TRIM($B52),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53">
      <c r="A53" s="90" t="s">
        <v>149</v>
      </c>
      <c r="B53" s="88" t="str">
        <f>IFERROR(__xludf.DUMMYFUNCTION("""COMPUTED_VALUE"""),"Google Drive")</f>
        <v>Google Drive</v>
      </c>
      <c r="C53" s="89">
        <f t="array" ref="C53">IFNA(
  LET(
    colaborador, TRIM(C$1),
    tipo, TRIM($B53),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53" s="89">
        <f t="array" ref="D53">IFNA(
  LET(
    colaborador, TRIM(D$1),
    tipo, TRIM($B53),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53" s="89">
        <f t="array" ref="E53">IFNA(
  LET(
    colaborador, TRIM(E$1),
    tipo, TRIM($B53),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53" s="89">
        <f t="array" ref="F53">IFNA(
  LET(
    colaborador, TRIM(F$1),
    tipo, TRIM($B53),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4.5</v>
      </c>
      <c r="G53" s="89">
        <f t="array" ref="G53">IFNA(
  LET(
    colaborador, TRIM(G$1),
    tipo, TRIM($B53),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53" s="89">
        <f t="array" ref="H53">IFNA(
  LET(
    colaborador, TRIM(H$1),
    tipo, TRIM($B53),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53" s="88">
        <f t="array" ref="I53">IFNA(
  LET(
    colaborador, TRIM(I$1),
    tipo, TRIM($B53),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53" s="88">
        <f t="array" ref="J53">IFNA(
  LET(
    colaborador, TRIM(J$1),
    tipo, TRIM($B53),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53" s="88">
        <f t="array" ref="K53">IFNA(
  LET(
    colaborador, TRIM(K$1),
    tipo, TRIM($B53),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53" s="88">
        <f t="array" ref="L53">IFNA(
  LET(
    colaborador, TRIM(L$1),
    tipo, TRIM($B53),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53" s="88">
        <f t="array" ref="M53">IFNA(
  LET(
    colaborador, TRIM(M$1),
    tipo, TRIM($B53),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53" s="88">
        <f t="array" ref="N53">IFNA(
  LET(
    colaborador, TRIM(N$1),
    tipo, TRIM($B53),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53" s="88">
        <f t="array" ref="O53">IFNA(
  LET(
    colaborador, TRIM(O$1),
    tipo, TRIM($B53),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54">
      <c r="A54" s="90" t="s">
        <v>149</v>
      </c>
      <c r="B54" s="88" t="str">
        <f>IFERROR(__xludf.DUMMYFUNCTION("""COMPUTED_VALUE"""),"Ar Cond 3/12")</f>
        <v>Ar Cond 3/12</v>
      </c>
      <c r="C54" s="89">
        <f t="array" ref="C54">IFNA(
  LET(
    colaborador, TRIM(C$1),
    tipo, TRIM($B54),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54" s="89">
        <f t="array" ref="D54">IFNA(
  LET(
    colaborador, TRIM(D$1),
    tipo, TRIM($B54),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54" s="89">
        <f t="array" ref="E54">IFNA(
  LET(
    colaborador, TRIM(E$1),
    tipo, TRIM($B54),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54" s="89">
        <f t="array" ref="F54">IFNA(
  LET(
    colaborador, TRIM(F$1),
    tipo, TRIM($B54),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324.95</v>
      </c>
      <c r="G54" s="89">
        <f t="array" ref="G54">IFNA(
  LET(
    colaborador, TRIM(G$1),
    tipo, TRIM($B54),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54" s="89">
        <f t="array" ref="H54">IFNA(
  LET(
    colaborador, TRIM(H$1),
    tipo, TRIM($B54),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54" s="88">
        <f t="array" ref="I54">IFNA(
  LET(
    colaborador, TRIM(I$1),
    tipo, TRIM($B54),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54" s="88">
        <f t="array" ref="J54">IFNA(
  LET(
    colaborador, TRIM(J$1),
    tipo, TRIM($B54),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54" s="88">
        <f t="array" ref="K54">IFNA(
  LET(
    colaborador, TRIM(K$1),
    tipo, TRIM($B54),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54" s="88">
        <f t="array" ref="L54">IFNA(
  LET(
    colaborador, TRIM(L$1),
    tipo, TRIM($B54),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54" s="88">
        <f t="array" ref="M54">IFNA(
  LET(
    colaborador, TRIM(M$1),
    tipo, TRIM($B54),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54" s="88">
        <f t="array" ref="N54">IFNA(
  LET(
    colaborador, TRIM(N$1),
    tipo, TRIM($B54),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54" s="88">
        <f t="array" ref="O54">IFNA(
  LET(
    colaborador, TRIM(O$1),
    tipo, TRIM($B54),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55">
      <c r="A55" s="90" t="s">
        <v>149</v>
      </c>
      <c r="B55" s="88" t="str">
        <f>IFERROR(__xludf.DUMMYFUNCTION("""COMPUTED_VALUE"""),"Monitores 3/12")</f>
        <v>Monitores 3/12</v>
      </c>
      <c r="C55" s="89">
        <f t="array" ref="C55">IFNA(
  LET(
    colaborador, TRIM(C$1),
    tipo, TRIM($B55),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55" s="89">
        <f t="array" ref="D55">IFNA(
  LET(
    colaborador, TRIM(D$1),
    tipo, TRIM($B55),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55" s="89">
        <f t="array" ref="E55">IFNA(
  LET(
    colaborador, TRIM(E$1),
    tipo, TRIM($B55),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55" s="89">
        <f t="array" ref="F55">IFNA(
  LET(
    colaborador, TRIM(F$1),
    tipo, TRIM($B55),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144.5</v>
      </c>
      <c r="G55" s="89">
        <f t="array" ref="G55">IFNA(
  LET(
    colaborador, TRIM(G$1),
    tipo, TRIM($B55),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55" s="89">
        <f t="array" ref="H55">IFNA(
  LET(
    colaborador, TRIM(H$1),
    tipo, TRIM($B55),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55" s="88">
        <f t="array" ref="I55">IFNA(
  LET(
    colaborador, TRIM(I$1),
    tipo, TRIM($B55),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55" s="88">
        <f t="array" ref="J55">IFNA(
  LET(
    colaborador, TRIM(J$1),
    tipo, TRIM($B55),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55" s="88">
        <f t="array" ref="K55">IFNA(
  LET(
    colaborador, TRIM(K$1),
    tipo, TRIM($B55),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55" s="88">
        <f t="array" ref="L55">IFNA(
  LET(
    colaborador, TRIM(L$1),
    tipo, TRIM($B55),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55" s="88">
        <f t="array" ref="M55">IFNA(
  LET(
    colaborador, TRIM(M$1),
    tipo, TRIM($B55),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55" s="88">
        <f t="array" ref="N55">IFNA(
  LET(
    colaborador, TRIM(N$1),
    tipo, TRIM($B55),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55" s="88">
        <f t="array" ref="O55">IFNA(
  LET(
    colaborador, TRIM(O$1),
    tipo, TRIM($B55),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56">
      <c r="A56" s="90" t="s">
        <v>149</v>
      </c>
      <c r="B56" s="88" t="str">
        <f>IFERROR(__xludf.DUMMYFUNCTION("""COMPUTED_VALUE"""),"Notebooks part 2 - 8/24")</f>
        <v>Notebooks part 2 - 8/24</v>
      </c>
      <c r="C56" s="89">
        <f t="array" ref="C56">IFNA(
  LET(
    colaborador, TRIM(C$1),
    tipo, TRIM($B56),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56" s="89">
        <f t="array" ref="D56">IFNA(
  LET(
    colaborador, TRIM(D$1),
    tipo, TRIM($B56),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56" s="89">
        <f t="array" ref="E56">IFNA(
  LET(
    colaborador, TRIM(E$1),
    tipo, TRIM($B56),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56" s="89">
        <f t="array" ref="F56">IFNA(
  LET(
    colaborador, TRIM(F$1),
    tipo, TRIM($B56),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291.66</v>
      </c>
      <c r="G56" s="89">
        <f t="array" ref="G56">IFNA(
  LET(
    colaborador, TRIM(G$1),
    tipo, TRIM($B56),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56" s="89">
        <f t="array" ref="H56">IFNA(
  LET(
    colaborador, TRIM(H$1),
    tipo, TRIM($B56),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56" s="88">
        <f t="array" ref="I56">IFNA(
  LET(
    colaborador, TRIM(I$1),
    tipo, TRIM($B56),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56" s="88">
        <f t="array" ref="J56">IFNA(
  LET(
    colaborador, TRIM(J$1),
    tipo, TRIM($B56),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56" s="88">
        <f t="array" ref="K56">IFNA(
  LET(
    colaborador, TRIM(K$1),
    tipo, TRIM($B56),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56" s="88">
        <f t="array" ref="L56">IFNA(
  LET(
    colaborador, TRIM(L$1),
    tipo, TRIM($B56),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56" s="88">
        <f t="array" ref="M56">IFNA(
  LET(
    colaborador, TRIM(M$1),
    tipo, TRIM($B56),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56" s="88">
        <f t="array" ref="N56">IFNA(
  LET(
    colaborador, TRIM(N$1),
    tipo, TRIM($B56),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56" s="88">
        <f t="array" ref="O56">IFNA(
  LET(
    colaborador, TRIM(O$1),
    tipo, TRIM($B56),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57">
      <c r="A57" s="90" t="s">
        <v>149</v>
      </c>
      <c r="B57" s="88" t="str">
        <f>IFERROR(__xludf.DUMMYFUNCTION("""COMPUTED_VALUE"""),"Gás de cozinha")</f>
        <v>Gás de cozinha</v>
      </c>
      <c r="C57" s="89">
        <f t="array" ref="C57">IFNA(
  LET(
    colaborador, TRIM(C$1),
    tipo, TRIM($B57),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57" s="89">
        <f t="array" ref="D57">IFNA(
  LET(
    colaborador, TRIM(D$1),
    tipo, TRIM($B57),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57" s="89">
        <f t="array" ref="E57">IFNA(
  LET(
    colaborador, TRIM(E$1),
    tipo, TRIM($B57),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57" s="89">
        <f t="array" ref="F57">IFNA(
  LET(
    colaborador, TRIM(F$1),
    tipo, TRIM($B57),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57" s="89" t="str">
        <f t="array" ref="G57">IFNA(
  LET(
    colaborador, TRIM(G$1),
    tipo, TRIM($B57),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/>
      </c>
      <c r="H57" s="89">
        <f t="array" ref="H57">IFNA(
  LET(
    colaborador, TRIM(H$1),
    tipo, TRIM($B57),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57" s="88">
        <f t="array" ref="I57">IFNA(
  LET(
    colaborador, TRIM(I$1),
    tipo, TRIM($B57),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57" s="88">
        <f t="array" ref="J57">IFNA(
  LET(
    colaborador, TRIM(J$1),
    tipo, TRIM($B57),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57" s="88">
        <f t="array" ref="K57">IFNA(
  LET(
    colaborador, TRIM(K$1),
    tipo, TRIM($B57),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57" s="88">
        <f t="array" ref="L57">IFNA(
  LET(
    colaborador, TRIM(L$1),
    tipo, TRIM($B57),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57" s="88">
        <f t="array" ref="M57">IFNA(
  LET(
    colaborador, TRIM(M$1),
    tipo, TRIM($B57),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57" s="88">
        <f t="array" ref="N57">IFNA(
  LET(
    colaborador, TRIM(N$1),
    tipo, TRIM($B57),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57" s="88">
        <f t="array" ref="O57">IFNA(
  LET(
    colaborador, TRIM(O$1),
    tipo, TRIM($B57),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58">
      <c r="A58" s="90" t="s">
        <v>149</v>
      </c>
      <c r="B58" s="88" t="str">
        <f>IFERROR(__xludf.DUMMYFUNCTION("""COMPUTED_VALUE"""),"recarga chip")</f>
        <v>recarga chip</v>
      </c>
      <c r="C58" s="89">
        <f t="array" ref="C58">IFNA(
  LET(
    colaborador, TRIM(C$1),
    tipo, TRIM($B58),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58" s="89">
        <f t="array" ref="D58">IFNA(
  LET(
    colaborador, TRIM(D$1),
    tipo, TRIM($B58),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58" s="89">
        <f t="array" ref="E58">IFNA(
  LET(
    colaborador, TRIM(E$1),
    tipo, TRIM($B58),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58" s="89">
        <f t="array" ref="F58">IFNA(
  LET(
    colaborador, TRIM(F$1),
    tipo, TRIM($B58),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58" s="89" t="str">
        <f t="array" ref="G58">IFNA(
  LET(
    colaborador, TRIM(G$1),
    tipo, TRIM($B58),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/>
      </c>
      <c r="H58" s="89">
        <f t="array" ref="H58">IFNA(
  LET(
    colaborador, TRIM(H$1),
    tipo, TRIM($B58),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58" s="88">
        <f t="array" ref="I58">IFNA(
  LET(
    colaborador, TRIM(I$1),
    tipo, TRIM($B58),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58" s="88">
        <f t="array" ref="J58">IFNA(
  LET(
    colaborador, TRIM(J$1),
    tipo, TRIM($B58),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58" s="88">
        <f t="array" ref="K58">IFNA(
  LET(
    colaborador, TRIM(K$1),
    tipo, TRIM($B58),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58" s="88">
        <f t="array" ref="L58">IFNA(
  LET(
    colaborador, TRIM(L$1),
    tipo, TRIM($B58),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58" s="88">
        <f t="array" ref="M58">IFNA(
  LET(
    colaborador, TRIM(M$1),
    tipo, TRIM($B58),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58" s="88">
        <f t="array" ref="N58">IFNA(
  LET(
    colaborador, TRIM(N$1),
    tipo, TRIM($B58),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58" s="88">
        <f t="array" ref="O58">IFNA(
  LET(
    colaborador, TRIM(O$1),
    tipo, TRIM($B58),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59">
      <c r="A59" s="90" t="s">
        <v>149</v>
      </c>
      <c r="B59" s="88" t="str">
        <f>IFERROR(__xludf.DUMMYFUNCTION("""COMPUTED_VALUE"""),"Transporte/gasolina")</f>
        <v>Transporte/gasolina</v>
      </c>
      <c r="C59" s="89">
        <f t="array" ref="C59">IFNA(
  LET(
    colaborador, TRIM(C$1),
    tipo, TRIM($B59),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59" s="89">
        <f t="array" ref="D59">IFNA(
  LET(
    colaborador, TRIM(D$1),
    tipo, TRIM($B59),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59" s="89">
        <f t="array" ref="E59">IFNA(
  LET(
    colaborador, TRIM(E$1),
    tipo, TRIM($B59),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59" s="89">
        <f t="array" ref="F59">IFNA(
  LET(
    colaborador, TRIM(F$1),
    tipo, TRIM($B59),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59" s="89">
        <f t="array" ref="G59">IFNA(
  LET(
    colaborador, TRIM(G$1),
    tipo, TRIM($B59),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59" s="89">
        <f t="array" ref="H59">IFNA(
  LET(
    colaborador, TRIM(H$1),
    tipo, TRIM($B59),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410</v>
      </c>
      <c r="I59" s="88">
        <f t="array" ref="I59">IFNA(
  LET(
    colaborador, TRIM(I$1),
    tipo, TRIM($B59),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59" s="88">
        <f t="array" ref="J59">IFNA(
  LET(
    colaborador, TRIM(J$1),
    tipo, TRIM($B59),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59" s="88">
        <f t="array" ref="K59">IFNA(
  LET(
    colaborador, TRIM(K$1),
    tipo, TRIM($B59),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59" s="88">
        <f t="array" ref="L59">IFNA(
  LET(
    colaborador, TRIM(L$1),
    tipo, TRIM($B59),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59" s="88">
        <f t="array" ref="M59">IFNA(
  LET(
    colaborador, TRIM(M$1),
    tipo, TRIM($B59),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59" s="88">
        <f t="array" ref="N59">IFNA(
  LET(
    colaborador, TRIM(N$1),
    tipo, TRIM($B59),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59" s="88">
        <f t="array" ref="O59">IFNA(
  LET(
    colaborador, TRIM(O$1),
    tipo, TRIM($B59),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60">
      <c r="A60" s="90" t="s">
        <v>149</v>
      </c>
      <c r="B60" s="88" t="str">
        <f>IFERROR(__xludf.DUMMYFUNCTION("""COMPUTED_VALUE"""),"Crédito no Chip")</f>
        <v>Crédito no Chip</v>
      </c>
      <c r="C60" s="89">
        <f t="array" ref="C60">IFNA(
  LET(
    colaborador, TRIM(C$1),
    tipo, TRIM($B60),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60" s="89">
        <f t="array" ref="D60">IFNA(
  LET(
    colaborador, TRIM(D$1),
    tipo, TRIM($B60),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60" s="89">
        <f t="array" ref="E60">IFNA(
  LET(
    colaborador, TRIM(E$1),
    tipo, TRIM($B60),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60" s="89">
        <f t="array" ref="F60">IFNA(
  LET(
    colaborador, TRIM(F$1),
    tipo, TRIM($B60),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60" s="89">
        <f t="array" ref="G60">IFNA(
  LET(
    colaborador, TRIM(G$1),
    tipo, TRIM($B60),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60" s="89">
        <f t="array" ref="H60">IFNA(
  LET(
    colaborador, TRIM(H$1),
    tipo, TRIM($B60),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60" s="88">
        <f t="array" ref="I60">IFNA(
  LET(
    colaborador, TRIM(I$1),
    tipo, TRIM($B60),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30</v>
      </c>
      <c r="J60" s="88">
        <f t="array" ref="J60">IFNA(
  LET(
    colaborador, TRIM(J$1),
    tipo, TRIM($B60),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60" s="88">
        <f t="array" ref="K60">IFNA(
  LET(
    colaborador, TRIM(K$1),
    tipo, TRIM($B60),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60" s="88">
        <f t="array" ref="L60">IFNA(
  LET(
    colaborador, TRIM(L$1),
    tipo, TRIM($B60),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60" s="88">
        <f t="array" ref="M60">IFNA(
  LET(
    colaborador, TRIM(M$1),
    tipo, TRIM($B60),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60" s="88">
        <f t="array" ref="N60">IFNA(
  LET(
    colaborador, TRIM(N$1),
    tipo, TRIM($B60),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60" s="88">
        <f t="array" ref="O60">IFNA(
  LET(
    colaborador, TRIM(O$1),
    tipo, TRIM($B60),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61">
      <c r="A61" s="90" t="s">
        <v>149</v>
      </c>
      <c r="B61" s="88" t="str">
        <f>IFERROR(__xludf.DUMMYFUNCTION("""COMPUTED_VALUE"""),"Compra de Ferramentas de Instalação")</f>
        <v>Compra de Ferramentas de Instalação</v>
      </c>
      <c r="C61" s="89">
        <f t="array" ref="C61">IFNA(
  LET(
    colaborador, TRIM(C$1),
    tipo, TRIM($B61),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61" s="89">
        <f t="array" ref="D61">IFNA(
  LET(
    colaborador, TRIM(D$1),
    tipo, TRIM($B61),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61" s="89">
        <f t="array" ref="E61">IFNA(
  LET(
    colaborador, TRIM(E$1),
    tipo, TRIM($B61),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61" s="89">
        <f t="array" ref="F61">IFNA(
  LET(
    colaborador, TRIM(F$1),
    tipo, TRIM($B61),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61" s="89">
        <f t="array" ref="G61">IFNA(
  LET(
    colaborador, TRIM(G$1),
    tipo, TRIM($B61),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61" s="89">
        <f t="array" ref="H61">IFNA(
  LET(
    colaborador, TRIM(H$1),
    tipo, TRIM($B61),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61" s="88" t="str">
        <f t="array" ref="I61">IFNA(
  LET(
    colaborador, TRIM(I$1),
    tipo, TRIM($B61),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/>
      </c>
      <c r="J61" s="88">
        <f t="array" ref="J61">IFNA(
  LET(
    colaborador, TRIM(J$1),
    tipo, TRIM($B61),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61" s="88">
        <f t="array" ref="K61">IFNA(
  LET(
    colaborador, TRIM(K$1),
    tipo, TRIM($B61),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61" s="88">
        <f t="array" ref="L61">IFNA(
  LET(
    colaborador, TRIM(L$1),
    tipo, TRIM($B61),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61" s="88">
        <f t="array" ref="M61">IFNA(
  LET(
    colaborador, TRIM(M$1),
    tipo, TRIM($B61),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61" s="88">
        <f t="array" ref="N61">IFNA(
  LET(
    colaborador, TRIM(N$1),
    tipo, TRIM($B61),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61" s="88">
        <f t="array" ref="O61">IFNA(
  LET(
    colaborador, TRIM(O$1),
    tipo, TRIM($B61),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62">
      <c r="A62" s="90" t="s">
        <v>149</v>
      </c>
      <c r="B62" s="88" t="str">
        <f>IFERROR(__xludf.DUMMYFUNCTION("""COMPUTED_VALUE"""),"Curso Revit 5/12")</f>
        <v>Curso Revit 5/12</v>
      </c>
      <c r="C62" s="89">
        <f t="array" ref="C62">IFNA(
  LET(
    colaborador, TRIM(C$1),
    tipo, TRIM($B62),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62" s="89">
        <f t="array" ref="D62">IFNA(
  LET(
    colaborador, TRIM(D$1),
    tipo, TRIM($B62),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62" s="89">
        <f t="array" ref="E62">IFNA(
  LET(
    colaborador, TRIM(E$1),
    tipo, TRIM($B62),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62" s="89">
        <f t="array" ref="F62">IFNA(
  LET(
    colaborador, TRIM(F$1),
    tipo, TRIM($B62),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62" s="89">
        <f t="array" ref="G62">IFNA(
  LET(
    colaborador, TRIM(G$1),
    tipo, TRIM($B62),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62" s="89">
        <f t="array" ref="H62">IFNA(
  LET(
    colaborador, TRIM(H$1),
    tipo, TRIM($B62),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62" s="88">
        <f t="array" ref="I62">IFNA(
  LET(
    colaborador, TRIM(I$1),
    tipo, TRIM($B62),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62" s="88">
        <f t="array" ref="J62">IFNA(
  LET(
    colaborador, TRIM(J$1),
    tipo, TRIM($B62),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103.11</v>
      </c>
      <c r="K62" s="88">
        <f t="array" ref="K62">IFNA(
  LET(
    colaborador, TRIM(K$1),
    tipo, TRIM($B62),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62" s="88">
        <f t="array" ref="L62">IFNA(
  LET(
    colaborador, TRIM(L$1),
    tipo, TRIM($B62),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62" s="88">
        <f t="array" ref="M62">IFNA(
  LET(
    colaborador, TRIM(M$1),
    tipo, TRIM($B62),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62" s="88">
        <f t="array" ref="N62">IFNA(
  LET(
    colaborador, TRIM(N$1),
    tipo, TRIM($B62),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62" s="88">
        <f t="array" ref="O62">IFNA(
  LET(
    colaborador, TRIM(O$1),
    tipo, TRIM($B62),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63">
      <c r="A63" s="90" t="s">
        <v>149</v>
      </c>
      <c r="B63" s="88" t="str">
        <f>IFERROR(__xludf.DUMMYFUNCTION("""COMPUTED_VALUE"""),"Crédito no Chip bot")</f>
        <v>Crédito no Chip bot</v>
      </c>
      <c r="C63" s="89">
        <f t="array" ref="C63">IFNA(
  LET(
    colaborador, TRIM(C$1),
    tipo, TRIM($B63),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63" s="89">
        <f t="array" ref="D63">IFNA(
  LET(
    colaborador, TRIM(D$1),
    tipo, TRIM($B63),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63" s="89">
        <f t="array" ref="E63">IFNA(
  LET(
    colaborador, TRIM(E$1),
    tipo, TRIM($B63),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63" s="89">
        <f t="array" ref="F63">IFNA(
  LET(
    colaborador, TRIM(F$1),
    tipo, TRIM($B63),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63" s="89">
        <f t="array" ref="G63">IFNA(
  LET(
    colaborador, TRIM(G$1),
    tipo, TRIM($B63),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63" s="89">
        <f t="array" ref="H63">IFNA(
  LET(
    colaborador, TRIM(H$1),
    tipo, TRIM($B63),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63" s="88">
        <f t="array" ref="I63">IFNA(
  LET(
    colaborador, TRIM(I$1),
    tipo, TRIM($B63),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63" s="88">
        <f t="array" ref="J63">IFNA(
  LET(
    colaborador, TRIM(J$1),
    tipo, TRIM($B63),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63" s="88">
        <f t="array" ref="K63">IFNA(
  LET(
    colaborador, TRIM(K$1),
    tipo, TRIM($B63),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60</v>
      </c>
      <c r="L63" s="88">
        <f t="array" ref="L63">IFNA(
  LET(
    colaborador, TRIM(L$1),
    tipo, TRIM($B63),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63" s="88">
        <f t="array" ref="M63">IFNA(
  LET(
    colaborador, TRIM(M$1),
    tipo, TRIM($B63),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63" s="88">
        <f t="array" ref="N63">IFNA(
  LET(
    colaborador, TRIM(N$1),
    tipo, TRIM($B63),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63" s="88">
        <f t="array" ref="O63">IFNA(
  LET(
    colaborador, TRIM(O$1),
    tipo, TRIM($B63),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64">
      <c r="A64" s="90" t="s">
        <v>149</v>
      </c>
      <c r="B64" s="88" t="str">
        <f>IFERROR(__xludf.DUMMYFUNCTION("""COMPUTED_VALUE"""),"gasolina")</f>
        <v>gasolina</v>
      </c>
      <c r="C64" s="89">
        <f t="array" ref="C64">IFNA(
  LET(
    colaborador, TRIM(C$1),
    tipo, TRIM($B64),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64" s="89">
        <f t="array" ref="D64">IFNA(
  LET(
    colaborador, TRIM(D$1),
    tipo, TRIM($B64),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64" s="89">
        <f t="array" ref="E64">IFNA(
  LET(
    colaborador, TRIM(E$1),
    tipo, TRIM($B64),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64" s="89">
        <f t="array" ref="F64">IFNA(
  LET(
    colaborador, TRIM(F$1),
    tipo, TRIM($B64),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64" s="89">
        <f t="array" ref="G64">IFNA(
  LET(
    colaborador, TRIM(G$1),
    tipo, TRIM($B64),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64" s="89">
        <f t="array" ref="H64">IFNA(
  LET(
    colaborador, TRIM(H$1),
    tipo, TRIM($B64),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64" s="88">
        <f t="array" ref="I64">IFNA(
  LET(
    colaborador, TRIM(I$1),
    tipo, TRIM($B64),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64" s="88">
        <f t="array" ref="J64">IFNA(
  LET(
    colaborador, TRIM(J$1),
    tipo, TRIM($B64),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64" s="88">
        <f t="array" ref="K64">IFNA(
  LET(
    colaborador, TRIM(K$1),
    tipo, TRIM($B64),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64" s="88" t="str">
        <f t="array" ref="L64">IFNA(
  LET(
    colaborador, TRIM(L$1),
    tipo, TRIM($B64),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/>
      </c>
      <c r="M64" s="88">
        <f t="array" ref="M64">IFNA(
  LET(
    colaborador, TRIM(M$1),
    tipo, TRIM($B64),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64" s="88">
        <f t="array" ref="N64">IFNA(
  LET(
    colaborador, TRIM(N$1),
    tipo, TRIM($B64),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64" s="88">
        <f t="array" ref="O64">IFNA(
  LET(
    colaborador, TRIM(O$1),
    tipo, TRIM($B64),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65">
      <c r="A65" s="90" t="s">
        <v>149</v>
      </c>
      <c r="B65" s="88" t="str">
        <f>IFERROR(__xludf.DUMMYFUNCTION("""COMPUTED_VALUE"""),"Compras de Material leparc")</f>
        <v>Compras de Material leparc</v>
      </c>
      <c r="C65" s="89">
        <f t="array" ref="C65">IFNA(
  LET(
    colaborador, TRIM(C$1),
    tipo, TRIM($B65),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65" s="89">
        <f t="array" ref="D65">IFNA(
  LET(
    colaborador, TRIM(D$1),
    tipo, TRIM($B65),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65" s="89">
        <f t="array" ref="E65">IFNA(
  LET(
    colaborador, TRIM(E$1),
    tipo, TRIM($B65),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65" s="89">
        <f t="array" ref="F65">IFNA(
  LET(
    colaborador, TRIM(F$1),
    tipo, TRIM($B65),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65" s="89">
        <f t="array" ref="G65">IFNA(
  LET(
    colaborador, TRIM(G$1),
    tipo, TRIM($B65),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65" s="89">
        <f t="array" ref="H65">IFNA(
  LET(
    colaborador, TRIM(H$1),
    tipo, TRIM($B65),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65" s="88">
        <f t="array" ref="I65">IFNA(
  LET(
    colaborador, TRIM(I$1),
    tipo, TRIM($B65),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65" s="88">
        <f t="array" ref="J65">IFNA(
  LET(
    colaborador, TRIM(J$1),
    tipo, TRIM($B65),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65" s="88">
        <f t="array" ref="K65">IFNA(
  LET(
    colaborador, TRIM(K$1),
    tipo, TRIM($B65),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65" s="88">
        <f t="array" ref="L65">IFNA(
  LET(
    colaborador, TRIM(L$1),
    tipo, TRIM($B65),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217.5</v>
      </c>
      <c r="M65" s="88">
        <f t="array" ref="M65">IFNA(
  LET(
    colaborador, TRIM(M$1),
    tipo, TRIM($B65),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65" s="88">
        <f t="array" ref="N65">IFNA(
  LET(
    colaborador, TRIM(N$1),
    tipo, TRIM($B65),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65" s="88">
        <f t="array" ref="O65">IFNA(
  LET(
    colaborador, TRIM(O$1),
    tipo, TRIM($B65),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66">
      <c r="A66" s="90" t="s">
        <v>149</v>
      </c>
      <c r="B66" s="88" t="str">
        <f>IFERROR(__xludf.DUMMYFUNCTION("""COMPUTED_VALUE"""),"almoço")</f>
        <v>almoço</v>
      </c>
      <c r="C66" s="89">
        <f t="array" ref="C66">IFNA(
  LET(
    colaborador, TRIM(C$1),
    tipo, TRIM($B66),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66" s="89">
        <f t="array" ref="D66">IFNA(
  LET(
    colaborador, TRIM(D$1),
    tipo, TRIM($B66),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66" s="89">
        <f t="array" ref="E66">IFNA(
  LET(
    colaborador, TRIM(E$1),
    tipo, TRIM($B66),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66" s="89">
        <f t="array" ref="F66">IFNA(
  LET(
    colaborador, TRIM(F$1),
    tipo, TRIM($B66),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66" s="89">
        <f t="array" ref="G66">IFNA(
  LET(
    colaborador, TRIM(G$1),
    tipo, TRIM($B66),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66" s="89">
        <f t="array" ref="H66">IFNA(
  LET(
    colaborador, TRIM(H$1),
    tipo, TRIM($B66),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66" s="88">
        <f t="array" ref="I66">IFNA(
  LET(
    colaborador, TRIM(I$1),
    tipo, TRIM($B66),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66" s="88">
        <f t="array" ref="J66">IFNA(
  LET(
    colaborador, TRIM(J$1),
    tipo, TRIM($B66),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66" s="88">
        <f t="array" ref="K66">IFNA(
  LET(
    colaborador, TRIM(K$1),
    tipo, TRIM($B66),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66" s="88" t="str">
        <f t="array" ref="L66">IFNA(
  LET(
    colaborador, TRIM(L$1),
    tipo, TRIM($B66),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/>
      </c>
      <c r="M66" s="88">
        <f t="array" ref="M66">IFNA(
  LET(
    colaborador, TRIM(M$1),
    tipo, TRIM($B66),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66" s="88">
        <f t="array" ref="N66">IFNA(
  LET(
    colaborador, TRIM(N$1),
    tipo, TRIM($B66),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66" s="88">
        <f t="array" ref="O66">IFNA(
  LET(
    colaborador, TRIM(O$1),
    tipo, TRIM($B66),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67">
      <c r="A67" s="90" t="s">
        <v>149</v>
      </c>
      <c r="B67" s="88" t="str">
        <f>IFERROR(__xludf.DUMMYFUNCTION("""COMPUTED_VALUE"""),"Hospedagem")</f>
        <v>Hospedagem</v>
      </c>
      <c r="C67" s="89">
        <f t="array" ref="C67">IFNA(
  LET(
    colaborador, TRIM(C$1),
    tipo, TRIM($B67),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67" s="89">
        <f t="array" ref="D67">IFNA(
  LET(
    colaborador, TRIM(D$1),
    tipo, TRIM($B67),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67" s="89">
        <f t="array" ref="E67">IFNA(
  LET(
    colaborador, TRIM(E$1),
    tipo, TRIM($B67),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67" s="89">
        <f t="array" ref="F67">IFNA(
  LET(
    colaborador, TRIM(F$1),
    tipo, TRIM($B67),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67" s="89">
        <f t="array" ref="G67">IFNA(
  LET(
    colaborador, TRIM(G$1),
    tipo, TRIM($B67),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67" s="89">
        <f t="array" ref="H67">IFNA(
  LET(
    colaborador, TRIM(H$1),
    tipo, TRIM($B67),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67" s="88">
        <f t="array" ref="I67">IFNA(
  LET(
    colaborador, TRIM(I$1),
    tipo, TRIM($B67),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67" s="88">
        <f t="array" ref="J67">IFNA(
  LET(
    colaborador, TRIM(J$1),
    tipo, TRIM($B67),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67" s="88">
        <f t="array" ref="K67">IFNA(
  LET(
    colaborador, TRIM(K$1),
    tipo, TRIM($B67),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67" s="88">
        <f t="array" ref="L67">IFNA(
  LET(
    colaborador, TRIM(L$1),
    tipo, TRIM($B67),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67" s="88">
        <f t="array" ref="M67">IFNA(
  LET(
    colaborador, TRIM(M$1),
    tipo, TRIM($B67),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67" s="88">
        <f t="array" ref="N67">IFNA(
  LET(
    colaborador, TRIM(N$1),
    tipo, TRIM($B67),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67" s="88">
        <f t="array" ref="O67">IFNA(
  LET(
    colaborador, TRIM(O$1),
    tipo, TRIM($B67),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68">
      <c r="A68" s="90" t="s">
        <v>149</v>
      </c>
      <c r="B68" s="88" t="str">
        <f>IFERROR(__xludf.DUMMYFUNCTION("""COMPUTED_VALUE"""),"Curso SaaS")</f>
        <v>Curso SaaS</v>
      </c>
      <c r="C68" s="89">
        <f t="array" ref="C68">IFNA(
  LET(
    colaborador, TRIM(C$1),
    tipo, TRIM($B68),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68" s="89">
        <f t="array" ref="D68">IFNA(
  LET(
    colaborador, TRIM(D$1),
    tipo, TRIM($B68),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68" s="89">
        <f t="array" ref="E68">IFNA(
  LET(
    colaborador, TRIM(E$1),
    tipo, TRIM($B68),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68" s="89">
        <f t="array" ref="F68">IFNA(
  LET(
    colaborador, TRIM(F$1),
    tipo, TRIM($B68),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68" s="89">
        <f t="array" ref="G68">IFNA(
  LET(
    colaborador, TRIM(G$1),
    tipo, TRIM($B68),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68" s="89">
        <f t="array" ref="H68">IFNA(
  LET(
    colaborador, TRIM(H$1),
    tipo, TRIM($B68),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68" s="88">
        <f t="array" ref="I68">IFNA(
  LET(
    colaborador, TRIM(I$1),
    tipo, TRIM($B68),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68" s="88">
        <f t="array" ref="J68">IFNA(
  LET(
    colaborador, TRIM(J$1),
    tipo, TRIM($B68),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68" s="88">
        <f t="array" ref="K68">IFNA(
  LET(
    colaborador, TRIM(K$1),
    tipo, TRIM($B68),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68" s="88">
        <f t="array" ref="L68">IFNA(
  LET(
    colaborador, TRIM(L$1),
    tipo, TRIM($B68),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68" s="88">
        <f t="array" ref="M68">IFNA(
  LET(
    colaborador, TRIM(M$1),
    tipo, TRIM($B68),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68" s="88">
        <f t="array" ref="N68">IFNA(
  LET(
    colaborador, TRIM(N$1),
    tipo, TRIM($B68),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O68" s="88">
        <f t="array" ref="O68">IFNA(
  LET(
    colaborador, TRIM(O$1),
    tipo, TRIM($B68),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69">
      <c r="A69" s="90" t="s">
        <v>149</v>
      </c>
      <c r="B69" s="88" t="str">
        <f>IFERROR(__xludf.DUMMYFUNCTION("""COMPUTED_VALUE"""),"Brindes funcionários")</f>
        <v>Brindes funcionários</v>
      </c>
      <c r="C69" s="89">
        <f t="array" ref="C69">IFNA(
  LET(
    colaborador, TRIM(C$1),
    tipo, TRIM($B69),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69" s="89">
        <f t="array" ref="D69">IFNA(
  LET(
    colaborador, TRIM(D$1),
    tipo, TRIM($B69),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69" s="89">
        <f t="array" ref="E69">IFNA(
  LET(
    colaborador, TRIM(E$1),
    tipo, TRIM($B69),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69" s="89">
        <f t="array" ref="F69">IFNA(
  LET(
    colaborador, TRIM(F$1),
    tipo, TRIM($B69),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69" s="89">
        <f t="array" ref="G69">IFNA(
  LET(
    colaborador, TRIM(G$1),
    tipo, TRIM($B69),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69" s="89">
        <f t="array" ref="H69">IFNA(
  LET(
    colaborador, TRIM(H$1),
    tipo, TRIM($B69),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69" s="88">
        <f t="array" ref="I69">IFNA(
  LET(
    colaborador, TRIM(I$1),
    tipo, TRIM($B69),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69" s="88">
        <f t="array" ref="J69">IFNA(
  LET(
    colaborador, TRIM(J$1),
    tipo, TRIM($B69),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69" s="88">
        <f t="array" ref="K69">IFNA(
  LET(
    colaborador, TRIM(K$1),
    tipo, TRIM($B69),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69" s="88">
        <f t="array" ref="L69">IFNA(
  LET(
    colaborador, TRIM(L$1),
    tipo, TRIM($B69),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69" s="88">
        <f t="array" ref="M69">IFNA(
  LET(
    colaborador, TRIM(M$1),
    tipo, TRIM($B69),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69" s="88" t="str">
        <f t="array" ref="N69">IFNA(
  LET(
    colaborador, TRIM(N$1),
    tipo, TRIM($B69),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/>
      </c>
      <c r="O69" s="88">
        <f t="array" ref="O69">IFNA(
  LET(
    colaborador, TRIM(O$1),
    tipo, TRIM($B69),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70">
      <c r="A70" s="92" t="s">
        <v>149</v>
      </c>
      <c r="B70" s="92" t="s">
        <v>150</v>
      </c>
      <c r="C70" s="93">
        <f t="shared" ref="C70:O70" si="2">SUM(C38:C69)</f>
        <v>1982.6</v>
      </c>
      <c r="D70" s="93">
        <f t="shared" si="2"/>
        <v>595.31</v>
      </c>
      <c r="E70" s="93">
        <f t="shared" si="2"/>
        <v>99.7</v>
      </c>
      <c r="F70" s="93">
        <f t="shared" si="2"/>
        <v>765.61</v>
      </c>
      <c r="G70" s="93">
        <f t="shared" si="2"/>
        <v>320.52</v>
      </c>
      <c r="H70" s="93">
        <f t="shared" si="2"/>
        <v>456.9</v>
      </c>
      <c r="I70" s="93">
        <f t="shared" si="2"/>
        <v>30</v>
      </c>
      <c r="J70" s="93">
        <f t="shared" si="2"/>
        <v>596.7</v>
      </c>
      <c r="K70" s="93">
        <f t="shared" si="2"/>
        <v>260.26</v>
      </c>
      <c r="L70" s="93">
        <f t="shared" si="2"/>
        <v>309.71</v>
      </c>
      <c r="M70" s="93">
        <f t="shared" si="2"/>
        <v>125.83</v>
      </c>
      <c r="N70" s="93">
        <f t="shared" si="2"/>
        <v>0</v>
      </c>
      <c r="O70" s="93">
        <f t="shared" si="2"/>
        <v>0</v>
      </c>
    </row>
    <row r="71">
      <c r="A71" s="90" t="s">
        <v>151</v>
      </c>
      <c r="B71" s="88" t="str">
        <f>IFERROR(__xludf.DUMMYFUNCTION("UNIQUE(
  VSTACK(
    FILTER(
      'Março26'!B1:B1027,
      'Março26'!B1:B1027&lt;&gt;"""",
      SCAN(
        0,
        'Março26'!B1:B1027,
        LAMBDA(acc,x, acc + N(LOWER(TRIM(x))=""tipo"") - N(LOWER(TRIM(x))=""total""))
      )&gt;0,
      LOWER(TRIM('M"&amp;"arço26'!B1:B1027))&lt;&gt;""tipo""
    ),
    FILTER(
      'Março26'!F1:F988,
      'Março26'!F1:F988&lt;&gt;"""",
      SCAN(
        0,
        'Março26'!F1:F988,
        LAMBDA(acc,x, acc + N(LOWER(TRIM(x))=""tipo"") - N(LOWER(TRIM(x))=""total""))
      )&gt;0,
    "&amp;"  LOWER(TRIM('Março26'!F1:F988))&lt;&gt;""tipo""
    )
  )
)"),"Transporte")</f>
        <v>Transporte</v>
      </c>
      <c r="C71" s="89">
        <f t="array" ref="C71">IFNA(
  LET(
    colaborador, TRIM(C$1),
    tipo, TRIM($B71),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728.96</v>
      </c>
      <c r="D71" s="89">
        <f t="array" ref="D71">IFNA(
  LET(
    colaborador, TRIM(D$1),
    tipo, TRIM($B71),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71" s="89">
        <f t="array" ref="E71">IFNA(
  LET(
    colaborador, TRIM(E$1),
    tipo, TRIM($B71),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71" s="89">
        <f t="array" ref="F71">IFNA(
  LET(
    colaborador, TRIM(F$1),
    tipo, TRIM($B71),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71" s="89">
        <f t="array" ref="G71">IFNA(
  LET(
    colaborador, TRIM(G$1),
    tipo, TRIM($B71),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129.14</v>
      </c>
      <c r="H71" s="89">
        <f t="array" ref="H71">IFNA(
  LET(
    colaborador, TRIM(H$1),
    tipo, TRIM($B71),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71" s="88">
        <f t="array" ref="I71">IFNA(
  LET(
    colaborador, TRIM(I$1),
    tipo, TRIM($B71),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36.6</v>
      </c>
      <c r="J71" s="88" t="str">
        <f t="array" ref="J71">IFNA(
  LET(
    colaborador, TRIM(J$1),
    tipo, TRIM($B71),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/>
      </c>
      <c r="K71" s="88">
        <f t="array" ref="K71">IFNA(
  LET(
    colaborador, TRIM(K$1),
    tipo, TRIM($B71),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250.8</v>
      </c>
      <c r="L71" s="88">
        <f t="array" ref="L71">IFNA(
  LET(
    colaborador, TRIM(L$1),
    tipo, TRIM($B71),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297.84</v>
      </c>
      <c r="M71" s="88">
        <f t="array" ref="M71">IFNA(
  LET(
    colaborador, TRIM(M$1),
    tipo, TRIM($B71),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134.17</v>
      </c>
      <c r="N71" s="88">
        <f t="array" ref="N71">IFNA(
  LET(
    colaborador, TRIM(N$1),
    tipo, TRIM($B71),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71" s="88">
        <f t="array" ref="O71">IFNA(
  LET(
    colaborador, TRIM(O$1),
    tipo, TRIM($B71),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72">
      <c r="A72" s="90" t="s">
        <v>151</v>
      </c>
      <c r="B72" s="88" t="str">
        <f>IFERROR(__xludf.DUMMYFUNCTION("""COMPUTED_VALUE"""),"Alimentação")</f>
        <v>Alimentação</v>
      </c>
      <c r="C72" s="89">
        <f t="array" ref="C72">IFNA(
  LET(
    colaborador, TRIM(C$1),
    tipo, TRIM($B72),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410.72</v>
      </c>
      <c r="D72" s="89" t="str">
        <f t="array" ref="D72">IFNA(
  LET(
    colaborador, TRIM(D$1),
    tipo, TRIM($B72),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/>
      </c>
      <c r="E72" s="89">
        <f t="array" ref="E72">IFNA(
  LET(
    colaborador, TRIM(E$1),
    tipo, TRIM($B72),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72" s="89">
        <f t="array" ref="F72">IFNA(
  LET(
    colaborador, TRIM(F$1),
    tipo, TRIM($B72),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72" s="89" t="str">
        <f t="array" ref="G72">IFNA(
  LET(
    colaborador, TRIM(G$1),
    tipo, TRIM($B72),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/>
      </c>
      <c r="H72" s="89" t="str">
        <f t="array" ref="H72">IFNA(
  LET(
    colaborador, TRIM(H$1),
    tipo, TRIM($B72),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/>
      </c>
      <c r="I72" s="88" t="str">
        <f t="array" ref="I72">IFNA(
  LET(
    colaborador, TRIM(I$1),
    tipo, TRIM($B72),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/>
      </c>
      <c r="J72" s="88">
        <f t="array" ref="J72">IFNA(
  LET(
    colaborador, TRIM(J$1),
    tipo, TRIM($B72),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72" s="88" t="str">
        <f t="array" ref="K72">IFNA(
  LET(
    colaborador, TRIM(K$1),
    tipo, TRIM($B72),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/>
      </c>
      <c r="L72" s="88">
        <f t="array" ref="L72">IFNA(
  LET(
    colaborador, TRIM(L$1),
    tipo, TRIM($B72),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72" s="88">
        <f t="array" ref="M72">IFNA(
  LET(
    colaborador, TRIM(M$1),
    tipo, TRIM($B72),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72" s="88">
        <f t="array" ref="N72">IFNA(
  LET(
    colaborador, TRIM(N$1),
    tipo, TRIM($B72),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72" s="88">
        <f t="array" ref="O72">IFNA(
  LET(
    colaborador, TRIM(O$1),
    tipo, TRIM($B72),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73">
      <c r="A73" s="90" t="s">
        <v>151</v>
      </c>
      <c r="B73" s="88" t="str">
        <f>IFERROR(__xludf.DUMMYFUNCTION("""COMPUTED_VALUE"""),"Almoço com Cliente")</f>
        <v>Almoço com Cliente</v>
      </c>
      <c r="C73" s="89">
        <f t="array" ref="C73">IFNA(
  LET(
    colaborador, TRIM(C$1),
    tipo, TRIM($B73),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74</v>
      </c>
      <c r="D73" s="89">
        <f t="array" ref="D73">IFNA(
  LET(
    colaborador, TRIM(D$1),
    tipo, TRIM($B73),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73" s="89">
        <f t="array" ref="E73">IFNA(
  LET(
    colaborador, TRIM(E$1),
    tipo, TRIM($B73),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73" s="89">
        <f t="array" ref="F73">IFNA(
  LET(
    colaborador, TRIM(F$1),
    tipo, TRIM($B73),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73" s="89">
        <f t="array" ref="G73">IFNA(
  LET(
    colaborador, TRIM(G$1),
    tipo, TRIM($B73),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73" s="89">
        <f t="array" ref="H73">IFNA(
  LET(
    colaborador, TRIM(H$1),
    tipo, TRIM($B73),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73" s="88">
        <f t="array" ref="I73">IFNA(
  LET(
    colaborador, TRIM(I$1),
    tipo, TRIM($B73),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73" s="88">
        <f t="array" ref="J73">IFNA(
  LET(
    colaborador, TRIM(J$1),
    tipo, TRIM($B73),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73" s="88">
        <f t="array" ref="K73">IFNA(
  LET(
    colaborador, TRIM(K$1),
    tipo, TRIM($B73),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73" s="88">
        <f t="array" ref="L73">IFNA(
  LET(
    colaborador, TRIM(L$1),
    tipo, TRIM($B73),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73" s="88">
        <f t="array" ref="M73">IFNA(
  LET(
    colaborador, TRIM(M$1),
    tipo, TRIM($B73),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73" s="88">
        <f t="array" ref="N73">IFNA(
  LET(
    colaborador, TRIM(N$1),
    tipo, TRIM($B73),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73" s="88">
        <f t="array" ref="O73">IFNA(
  LET(
    colaborador, TRIM(O$1),
    tipo, TRIM($B73),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74">
      <c r="A74" s="90" t="s">
        <v>151</v>
      </c>
      <c r="B74" s="88" t="str">
        <f>IFERROR(__xludf.DUMMYFUNCTION("""COMPUTED_VALUE"""),"Compra do Pc Biel 4/6")</f>
        <v>Compra do Pc Biel 4/6</v>
      </c>
      <c r="C74" s="89">
        <f t="array" ref="C74">IFNA(
  LET(
    colaborador, TRIM(C$1),
    tipo, TRIM($B74),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379</v>
      </c>
      <c r="D74" s="89">
        <f t="array" ref="D74">IFNA(
  LET(
    colaborador, TRIM(D$1),
    tipo, TRIM($B74),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74" s="89">
        <f t="array" ref="E74">IFNA(
  LET(
    colaborador, TRIM(E$1),
    tipo, TRIM($B74),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74" s="89">
        <f t="array" ref="F74">IFNA(
  LET(
    colaborador, TRIM(F$1),
    tipo, TRIM($B74),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74" s="89">
        <f t="array" ref="G74">IFNA(
  LET(
    colaborador, TRIM(G$1),
    tipo, TRIM($B74),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74" s="89">
        <f t="array" ref="H74">IFNA(
  LET(
    colaborador, TRIM(H$1),
    tipo, TRIM($B74),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74" s="88">
        <f t="array" ref="I74">IFNA(
  LET(
    colaborador, TRIM(I$1),
    tipo, TRIM($B74),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74" s="88">
        <f t="array" ref="J74">IFNA(
  LET(
    colaborador, TRIM(J$1),
    tipo, TRIM($B74),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74" s="88">
        <f t="array" ref="K74">IFNA(
  LET(
    colaborador, TRIM(K$1),
    tipo, TRIM($B74),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74" s="88">
        <f t="array" ref="L74">IFNA(
  LET(
    colaborador, TRIM(L$1),
    tipo, TRIM($B74),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74" s="88">
        <f t="array" ref="M74">IFNA(
  LET(
    colaborador, TRIM(M$1),
    tipo, TRIM($B74),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74" s="88">
        <f t="array" ref="N74">IFNA(
  LET(
    colaborador, TRIM(N$1),
    tipo, TRIM($B74),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74" s="88">
        <f t="array" ref="O74">IFNA(
  LET(
    colaborador, TRIM(O$1),
    tipo, TRIM($B74),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75">
      <c r="A75" s="90" t="s">
        <v>151</v>
      </c>
      <c r="B75" s="88" t="str">
        <f>IFERROR(__xludf.DUMMYFUNCTION("""COMPUTED_VALUE"""),"Bomba de Água + Brinde obras")</f>
        <v>Bomba de Água + Brinde obras</v>
      </c>
      <c r="C75" s="89">
        <f t="array" ref="C75">IFNA(
  LET(
    colaborador, TRIM(C$1),
    tipo, TRIM($B75),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261.6</v>
      </c>
      <c r="D75" s="89">
        <f t="array" ref="D75">IFNA(
  LET(
    colaborador, TRIM(D$1),
    tipo, TRIM($B75),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75" s="89">
        <f t="array" ref="E75">IFNA(
  LET(
    colaborador, TRIM(E$1),
    tipo, TRIM($B75),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75" s="89">
        <f t="array" ref="F75">IFNA(
  LET(
    colaborador, TRIM(F$1),
    tipo, TRIM($B75),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75" s="89">
        <f t="array" ref="G75">IFNA(
  LET(
    colaborador, TRIM(G$1),
    tipo, TRIM($B75),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75" s="89">
        <f t="array" ref="H75">IFNA(
  LET(
    colaborador, TRIM(H$1),
    tipo, TRIM($B75),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75" s="88">
        <f t="array" ref="I75">IFNA(
  LET(
    colaborador, TRIM(I$1),
    tipo, TRIM($B75),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75" s="88">
        <f t="array" ref="J75">IFNA(
  LET(
    colaborador, TRIM(J$1),
    tipo, TRIM($B75),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75" s="88">
        <f t="array" ref="K75">IFNA(
  LET(
    colaborador, TRIM(K$1),
    tipo, TRIM($B75),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75" s="88">
        <f t="array" ref="L75">IFNA(
  LET(
    colaborador, TRIM(L$1),
    tipo, TRIM($B75),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75" s="88">
        <f t="array" ref="M75">IFNA(
  LET(
    colaborador, TRIM(M$1),
    tipo, TRIM($B75),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75" s="88">
        <f t="array" ref="N75">IFNA(
  LET(
    colaborador, TRIM(N$1),
    tipo, TRIM($B75),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75" s="88">
        <f t="array" ref="O75">IFNA(
  LET(
    colaborador, TRIM(O$1),
    tipo, TRIM($B75),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76">
      <c r="A76" s="90" t="s">
        <v>151</v>
      </c>
      <c r="B76" s="88" t="str">
        <f>IFERROR(__xludf.DUMMYFUNCTION("""COMPUTED_VALUE"""),"Transporte/Manutenção")</f>
        <v>Transporte/Manutenção</v>
      </c>
      <c r="C76" s="89">
        <f t="array" ref="C76">IFNA(
  LET(
    colaborador, TRIM(C$1),
    tipo, TRIM($B76),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76" s="89">
        <f t="array" ref="D76">IFNA(
  LET(
    colaborador, TRIM(D$1),
    tipo, TRIM($B76),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210.97</v>
      </c>
      <c r="E76" s="89">
        <f t="array" ref="E76">IFNA(
  LET(
    colaborador, TRIM(E$1),
    tipo, TRIM($B76),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76" s="89" t="str">
        <f t="array" ref="F76">IFNA(
  LET(
    colaborador, TRIM(F$1),
    tipo, TRIM($B76),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/>
      </c>
      <c r="G76" s="89">
        <f t="array" ref="G76">IFNA(
  LET(
    colaborador, TRIM(G$1),
    tipo, TRIM($B76),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76" s="89">
        <f t="array" ref="H76">IFNA(
  LET(
    colaborador, TRIM(H$1),
    tipo, TRIM($B76),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76" s="88">
        <f t="array" ref="I76">IFNA(
  LET(
    colaborador, TRIM(I$1),
    tipo, TRIM($B76),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76" s="88">
        <f t="array" ref="J76">IFNA(
  LET(
    colaborador, TRIM(J$1),
    tipo, TRIM($B76),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76" s="88">
        <f t="array" ref="K76">IFNA(
  LET(
    colaborador, TRIM(K$1),
    tipo, TRIM($B76),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76" s="88">
        <f t="array" ref="L76">IFNA(
  LET(
    colaborador, TRIM(L$1),
    tipo, TRIM($B76),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76" s="88">
        <f t="array" ref="M76">IFNA(
  LET(
    colaborador, TRIM(M$1),
    tipo, TRIM($B76),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76" s="88">
        <f t="array" ref="N76">IFNA(
  LET(
    colaborador, TRIM(N$1),
    tipo, TRIM($B76),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76" s="88">
        <f t="array" ref="O76">IFNA(
  LET(
    colaborador, TRIM(O$1),
    tipo, TRIM($B76),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77">
      <c r="A77" s="90" t="s">
        <v>151</v>
      </c>
      <c r="B77" s="88" t="str">
        <f>IFERROR(__xludf.DUMMYFUNCTION("""COMPUTED_VALUE"""),"Plano telefone + Internet chip xpe")</f>
        <v>Plano telefone + Internet chip xpe</v>
      </c>
      <c r="C77" s="89">
        <f t="array" ref="C77">IFNA(
  LET(
    colaborador, TRIM(C$1),
    tipo, TRIM($B77),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77" s="89">
        <f t="array" ref="D77">IFNA(
  LET(
    colaborador, TRIM(D$1),
    tipo, TRIM($B77),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88.88</v>
      </c>
      <c r="E77" s="89">
        <f t="array" ref="E77">IFNA(
  LET(
    colaborador, TRIM(E$1),
    tipo, TRIM($B77),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77" s="89">
        <f t="array" ref="F77">IFNA(
  LET(
    colaborador, TRIM(F$1),
    tipo, TRIM($B77),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77" s="89">
        <f t="array" ref="G77">IFNA(
  LET(
    colaborador, TRIM(G$1),
    tipo, TRIM($B77),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77" s="89">
        <f t="array" ref="H77">IFNA(
  LET(
    colaborador, TRIM(H$1),
    tipo, TRIM($B77),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77" s="88">
        <f t="array" ref="I77">IFNA(
  LET(
    colaborador, TRIM(I$1),
    tipo, TRIM($B77),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77" s="88">
        <f t="array" ref="J77">IFNA(
  LET(
    colaborador, TRIM(J$1),
    tipo, TRIM($B77),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77" s="88">
        <f t="array" ref="K77">IFNA(
  LET(
    colaborador, TRIM(K$1),
    tipo, TRIM($B77),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77" s="88">
        <f t="array" ref="L77">IFNA(
  LET(
    colaborador, TRIM(L$1),
    tipo, TRIM($B77),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77" s="88">
        <f t="array" ref="M77">IFNA(
  LET(
    colaborador, TRIM(M$1),
    tipo, TRIM($B77),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77" s="88">
        <f t="array" ref="N77">IFNA(
  LET(
    colaborador, TRIM(N$1),
    tipo, TRIM($B77),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77" s="88">
        <f t="array" ref="O77">IFNA(
  LET(
    colaborador, TRIM(O$1),
    tipo, TRIM($B77),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78">
      <c r="A78" s="90" t="s">
        <v>151</v>
      </c>
      <c r="B78" s="88" t="str">
        <f>IFERROR(__xludf.DUMMYFUNCTION("""COMPUTED_VALUE"""),"Cadeiras + Microfone 5/14")</f>
        <v>Cadeiras + Microfone 5/14</v>
      </c>
      <c r="C78" s="89">
        <f t="array" ref="C78">IFNA(
  LET(
    colaborador, TRIM(C$1),
    tipo, TRIM($B78),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78" s="89">
        <f t="array" ref="D78">IFNA(
  LET(
    colaborador, TRIM(D$1),
    tipo, TRIM($B78),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221.44</v>
      </c>
      <c r="E78" s="89">
        <f t="array" ref="E78">IFNA(
  LET(
    colaborador, TRIM(E$1),
    tipo, TRIM($B78),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78" s="89">
        <f t="array" ref="F78">IFNA(
  LET(
    colaborador, TRIM(F$1),
    tipo, TRIM($B78),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78" s="89">
        <f t="array" ref="G78">IFNA(
  LET(
    colaborador, TRIM(G$1),
    tipo, TRIM($B78),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78" s="89">
        <f t="array" ref="H78">IFNA(
  LET(
    colaborador, TRIM(H$1),
    tipo, TRIM($B78),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78" s="88">
        <f t="array" ref="I78">IFNA(
  LET(
    colaborador, TRIM(I$1),
    tipo, TRIM($B78),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78" s="88">
        <f t="array" ref="J78">IFNA(
  LET(
    colaborador, TRIM(J$1),
    tipo, TRIM($B78),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78" s="88">
        <f t="array" ref="K78">IFNA(
  LET(
    colaborador, TRIM(K$1),
    tipo, TRIM($B78),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78" s="88">
        <f t="array" ref="L78">IFNA(
  LET(
    colaborador, TRIM(L$1),
    tipo, TRIM($B78),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78" s="88">
        <f t="array" ref="M78">IFNA(
  LET(
    colaborador, TRIM(M$1),
    tipo, TRIM($B78),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78" s="88">
        <f t="array" ref="N78">IFNA(
  LET(
    colaborador, TRIM(N$1),
    tipo, TRIM($B78),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78" s="88">
        <f t="array" ref="O78">IFNA(
  LET(
    colaborador, TRIM(O$1),
    tipo, TRIM($B78),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79">
      <c r="A79" s="90" t="s">
        <v>151</v>
      </c>
      <c r="B79" s="88" t="str">
        <f>IFERROR(__xludf.DUMMYFUNCTION("""COMPUTED_VALUE"""),"Impressora 3D 3/12")</f>
        <v>Impressora 3D 3/12</v>
      </c>
      <c r="C79" s="89">
        <f t="array" ref="C79">IFNA(
  LET(
    colaborador, TRIM(C$1),
    tipo, TRIM($B79),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79" s="89">
        <f t="array" ref="D79">IFNA(
  LET(
    colaborador, TRIM(D$1),
    tipo, TRIM($B79),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284.91</v>
      </c>
      <c r="E79" s="89">
        <f t="array" ref="E79">IFNA(
  LET(
    colaborador, TRIM(E$1),
    tipo, TRIM($B79),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79" s="89">
        <f t="array" ref="F79">IFNA(
  LET(
    colaborador, TRIM(F$1),
    tipo, TRIM($B79),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79" s="89">
        <f t="array" ref="G79">IFNA(
  LET(
    colaborador, TRIM(G$1),
    tipo, TRIM($B79),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79" s="89">
        <f t="array" ref="H79">IFNA(
  LET(
    colaborador, TRIM(H$1),
    tipo, TRIM($B79),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79" s="88">
        <f t="array" ref="I79">IFNA(
  LET(
    colaborador, TRIM(I$1),
    tipo, TRIM($B79),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79" s="88">
        <f t="array" ref="J79">IFNA(
  LET(
    colaborador, TRIM(J$1),
    tipo, TRIM($B79),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79" s="88">
        <f t="array" ref="K79">IFNA(
  LET(
    colaborador, TRIM(K$1),
    tipo, TRIM($B79),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79" s="88">
        <f t="array" ref="L79">IFNA(
  LET(
    colaborador, TRIM(L$1),
    tipo, TRIM($B79),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79" s="88">
        <f t="array" ref="M79">IFNA(
  LET(
    colaborador, TRIM(M$1),
    tipo, TRIM($B79),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79" s="88">
        <f t="array" ref="N79">IFNA(
  LET(
    colaborador, TRIM(N$1),
    tipo, TRIM($B79),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79" s="88">
        <f t="array" ref="O79">IFNA(
  LET(
    colaborador, TRIM(O$1),
    tipo, TRIM($B79),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80">
      <c r="A80" s="90" t="s">
        <v>151</v>
      </c>
      <c r="B80" s="88" t="str">
        <f>IFERROR(__xludf.DUMMYFUNCTION("""COMPUTED_VALUE"""),"Combustível")</f>
        <v>Combustível</v>
      </c>
      <c r="C80" s="89">
        <f t="array" ref="C80">IFNA(
  LET(
    colaborador, TRIM(C$1),
    tipo, TRIM($B80),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80" s="89">
        <f t="array" ref="D80">IFNA(
  LET(
    colaborador, TRIM(D$1),
    tipo, TRIM($B80),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80" s="89">
        <f t="array" ref="E80">IFNA(
  LET(
    colaborador, TRIM(E$1),
    tipo, TRIM($B80),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40</v>
      </c>
      <c r="F80" s="89">
        <f t="array" ref="F80">IFNA(
  LET(
    colaborador, TRIM(F$1),
    tipo, TRIM($B80),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80" s="89">
        <f t="array" ref="G80">IFNA(
  LET(
    colaborador, TRIM(G$1),
    tipo, TRIM($B80),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80" s="89">
        <f t="array" ref="H80">IFNA(
  LET(
    colaborador, TRIM(H$1),
    tipo, TRIM($B80),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80" s="88">
        <f t="array" ref="I80">IFNA(
  LET(
    colaborador, TRIM(I$1),
    tipo, TRIM($B80),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80" s="88">
        <f t="array" ref="J80">IFNA(
  LET(
    colaborador, TRIM(J$1),
    tipo, TRIM($B80),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80" s="88">
        <f t="array" ref="K80">IFNA(
  LET(
    colaborador, TRIM(K$1),
    tipo, TRIM($B80),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80" s="88">
        <f t="array" ref="L80">IFNA(
  LET(
    colaborador, TRIM(L$1),
    tipo, TRIM($B80),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80" s="88">
        <f t="array" ref="M80">IFNA(
  LET(
    colaborador, TRIM(M$1),
    tipo, TRIM($B80),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80" s="88">
        <f t="array" ref="N80">IFNA(
  LET(
    colaborador, TRIM(N$1),
    tipo, TRIM($B80),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80" s="88">
        <f t="array" ref="O80">IFNA(
  LET(
    colaborador, TRIM(O$1),
    tipo, TRIM($B80),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81">
      <c r="A81" s="90" t="s">
        <v>151</v>
      </c>
      <c r="B81" s="88" t="str">
        <f>IFERROR(__xludf.DUMMYFUNCTION("""COMPUTED_VALUE"""),"Alimentação Visitas")</f>
        <v>Alimentação Visitas</v>
      </c>
      <c r="C81" s="89">
        <f t="array" ref="C81">IFNA(
  LET(
    colaborador, TRIM(C$1),
    tipo, TRIM($B81),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81" s="89">
        <f t="array" ref="D81">IFNA(
  LET(
    colaborador, TRIM(D$1),
    tipo, TRIM($B81),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81" s="89" t="str">
        <f t="array" ref="E81">IFNA(
  LET(
    colaborador, TRIM(E$1),
    tipo, TRIM($B81),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/>
      </c>
      <c r="F81" s="89">
        <f t="array" ref="F81">IFNA(
  LET(
    colaborador, TRIM(F$1),
    tipo, TRIM($B81),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81" s="89">
        <f t="array" ref="G81">IFNA(
  LET(
    colaborador, TRIM(G$1),
    tipo, TRIM($B81),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81" s="89">
        <f t="array" ref="H81">IFNA(
  LET(
    colaborador, TRIM(H$1),
    tipo, TRIM($B81),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81" s="88">
        <f t="array" ref="I81">IFNA(
  LET(
    colaborador, TRIM(I$1),
    tipo, TRIM($B81),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81" s="88">
        <f t="array" ref="J81">IFNA(
  LET(
    colaborador, TRIM(J$1),
    tipo, TRIM($B81),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81" s="88">
        <f t="array" ref="K81">IFNA(
  LET(
    colaborador, TRIM(K$1),
    tipo, TRIM($B81),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81" s="88">
        <f t="array" ref="L81">IFNA(
  LET(
    colaborador, TRIM(L$1),
    tipo, TRIM($B81),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81" s="88">
        <f t="array" ref="M81">IFNA(
  LET(
    colaborador, TRIM(M$1),
    tipo, TRIM($B81),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81" s="88">
        <f t="array" ref="N81">IFNA(
  LET(
    colaborador, TRIM(N$1),
    tipo, TRIM($B81),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81" s="88">
        <f t="array" ref="O81">IFNA(
  LET(
    colaborador, TRIM(O$1),
    tipo, TRIM($B81),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82">
      <c r="A82" s="90" t="s">
        <v>151</v>
      </c>
      <c r="B82" s="88" t="str">
        <f>IFERROR(__xludf.DUMMYFUNCTION("""COMPUTED_VALUE"""),"Uber Fev.")</f>
        <v>Uber Fev.</v>
      </c>
      <c r="C82" s="89">
        <f t="array" ref="C82">IFNA(
  LET(
    colaborador, TRIM(C$1),
    tipo, TRIM($B82),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82" s="89">
        <f t="array" ref="D82">IFNA(
  LET(
    colaborador, TRIM(D$1),
    tipo, TRIM($B82),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82" s="89">
        <f t="array" ref="E82">IFNA(
  LET(
    colaborador, TRIM(E$1),
    tipo, TRIM($B82),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461.42</v>
      </c>
      <c r="F82" s="89">
        <f t="array" ref="F82">IFNA(
  LET(
    colaborador, TRIM(F$1),
    tipo, TRIM($B82),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82" s="89">
        <f t="array" ref="G82">IFNA(
  LET(
    colaborador, TRIM(G$1),
    tipo, TRIM($B82),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82" s="89">
        <f t="array" ref="H82">IFNA(
  LET(
    colaborador, TRIM(H$1),
    tipo, TRIM($B82),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82" s="88">
        <f t="array" ref="I82">IFNA(
  LET(
    colaborador, TRIM(I$1),
    tipo, TRIM($B82),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82" s="88">
        <f t="array" ref="J82">IFNA(
  LET(
    colaborador, TRIM(J$1),
    tipo, TRIM($B82),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82" s="88">
        <f t="array" ref="K82">IFNA(
  LET(
    colaborador, TRIM(K$1),
    tipo, TRIM($B82),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82" s="88">
        <f t="array" ref="L82">IFNA(
  LET(
    colaborador, TRIM(L$1),
    tipo, TRIM($B82),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82" s="88">
        <f t="array" ref="M82">IFNA(
  LET(
    colaborador, TRIM(M$1),
    tipo, TRIM($B82),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82" s="88">
        <f t="array" ref="N82">IFNA(
  LET(
    colaborador, TRIM(N$1),
    tipo, TRIM($B82),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82" s="88">
        <f t="array" ref="O82">IFNA(
  LET(
    colaborador, TRIM(O$1),
    tipo, TRIM($B82),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83">
      <c r="A83" s="90" t="s">
        <v>151</v>
      </c>
      <c r="B83" s="88" t="str">
        <f>IFERROR(__xludf.DUMMYFUNCTION("""COMPUTED_VALUE"""),"Uber Mar.")</f>
        <v>Uber Mar.</v>
      </c>
      <c r="C83" s="89">
        <f t="array" ref="C83">IFNA(
  LET(
    colaborador, TRIM(C$1),
    tipo, TRIM($B83),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83" s="89">
        <f t="array" ref="D83">IFNA(
  LET(
    colaborador, TRIM(D$1),
    tipo, TRIM($B83),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83" s="89">
        <f t="array" ref="E83">IFNA(
  LET(
    colaborador, TRIM(E$1),
    tipo, TRIM($B83),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254.77</v>
      </c>
      <c r="F83" s="89">
        <f t="array" ref="F83">IFNA(
  LET(
    colaborador, TRIM(F$1),
    tipo, TRIM($B83),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83" s="89">
        <f t="array" ref="G83">IFNA(
  LET(
    colaborador, TRIM(G$1),
    tipo, TRIM($B83),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83" s="89">
        <f t="array" ref="H83">IFNA(
  LET(
    colaborador, TRIM(H$1),
    tipo, TRIM($B83),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83" s="88">
        <f t="array" ref="I83">IFNA(
  LET(
    colaborador, TRIM(I$1),
    tipo, TRIM($B83),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83" s="88">
        <f t="array" ref="J83">IFNA(
  LET(
    colaborador, TRIM(J$1),
    tipo, TRIM($B83),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83" s="88">
        <f t="array" ref="K83">IFNA(
  LET(
    colaborador, TRIM(K$1),
    tipo, TRIM($B83),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83" s="88">
        <f t="array" ref="L83">IFNA(
  LET(
    colaborador, TRIM(L$1),
    tipo, TRIM($B83),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83" s="88">
        <f t="array" ref="M83">IFNA(
  LET(
    colaborador, TRIM(M$1),
    tipo, TRIM($B83),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83" s="88">
        <f t="array" ref="N83">IFNA(
  LET(
    colaborador, TRIM(N$1),
    tipo, TRIM($B83),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83" s="88">
        <f t="array" ref="O83">IFNA(
  LET(
    colaborador, TRIM(O$1),
    tipo, TRIM($B83),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84">
      <c r="A84" s="90" t="s">
        <v>151</v>
      </c>
      <c r="B84" s="88" t="str">
        <f>IFERROR(__xludf.DUMMYFUNCTION("""COMPUTED_VALUE"""),"Curso MUC 12/12")</f>
        <v>Curso MUC 12/12</v>
      </c>
      <c r="C84" s="89">
        <f t="array" ref="C84">IFNA(
  LET(
    colaborador, TRIM(C$1),
    tipo, TRIM($B84),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84" s="89">
        <f t="array" ref="D84">IFNA(
  LET(
    colaborador, TRIM(D$1),
    tipo, TRIM($B84),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84" s="89">
        <f t="array" ref="E84">IFNA(
  LET(
    colaborador, TRIM(E$1),
    tipo, TRIM($B84),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99.7</v>
      </c>
      <c r="F84" s="89">
        <f t="array" ref="F84">IFNA(
  LET(
    colaborador, TRIM(F$1),
    tipo, TRIM($B84),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84" s="89">
        <f t="array" ref="G84">IFNA(
  LET(
    colaborador, TRIM(G$1),
    tipo, TRIM($B84),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84" s="89">
        <f t="array" ref="H84">IFNA(
  LET(
    colaborador, TRIM(H$1),
    tipo, TRIM($B84),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84" s="88">
        <f t="array" ref="I84">IFNA(
  LET(
    colaborador, TRIM(I$1),
    tipo, TRIM($B84),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84" s="88">
        <f t="array" ref="J84">IFNA(
  LET(
    colaborador, TRIM(J$1),
    tipo, TRIM($B84),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84" s="88">
        <f t="array" ref="K84">IFNA(
  LET(
    colaborador, TRIM(K$1),
    tipo, TRIM($B84),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84" s="88">
        <f t="array" ref="L84">IFNA(
  LET(
    colaborador, TRIM(L$1),
    tipo, TRIM($B84),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84" s="88">
        <f t="array" ref="M84">IFNA(
  LET(
    colaborador, TRIM(M$1),
    tipo, TRIM($B84),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84" s="88">
        <f t="array" ref="N84">IFNA(
  LET(
    colaborador, TRIM(N$1),
    tipo, TRIM($B84),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84" s="88">
        <f t="array" ref="O84">IFNA(
  LET(
    colaborador, TRIM(O$1),
    tipo, TRIM($B84),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85">
      <c r="A85" s="90" t="s">
        <v>151</v>
      </c>
      <c r="B85" s="88" t="str">
        <f>IFERROR(__xludf.DUMMYFUNCTION("""COMPUTED_VALUE"""),"ART")</f>
        <v>ART</v>
      </c>
      <c r="C85" s="89">
        <f t="array" ref="C85">IFNA(
  LET(
    colaborador, TRIM(C$1),
    tipo, TRIM($B85),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85" s="89">
        <f t="array" ref="D85">IFNA(
  LET(
    colaborador, TRIM(D$1),
    tipo, TRIM($B85),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85" s="89" t="str">
        <f t="array" ref="E85">IFNA(
  LET(
    colaborador, TRIM(E$1),
    tipo, TRIM($B85),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/>
      </c>
      <c r="F85" s="89">
        <f t="array" ref="F85">IFNA(
  LET(
    colaborador, TRIM(F$1),
    tipo, TRIM($B85),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85" s="89">
        <f t="array" ref="G85">IFNA(
  LET(
    colaborador, TRIM(G$1),
    tipo, TRIM($B85),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85" s="89">
        <f t="array" ref="H85">IFNA(
  LET(
    colaborador, TRIM(H$1),
    tipo, TRIM($B85),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85" s="88">
        <f t="array" ref="I85">IFNA(
  LET(
    colaborador, TRIM(I$1),
    tipo, TRIM($B85),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85" s="88">
        <f t="array" ref="J85">IFNA(
  LET(
    colaborador, TRIM(J$1),
    tipo, TRIM($B85),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85" s="88">
        <f t="array" ref="K85">IFNA(
  LET(
    colaborador, TRIM(K$1),
    tipo, TRIM($B85),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85" s="88">
        <f t="array" ref="L85">IFNA(
  LET(
    colaborador, TRIM(L$1),
    tipo, TRIM($B85),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85" s="88">
        <f t="array" ref="M85">IFNA(
  LET(
    colaborador, TRIM(M$1),
    tipo, TRIM($B85),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85" s="88">
        <f t="array" ref="N85">IFNA(
  LET(
    colaborador, TRIM(N$1),
    tipo, TRIM($B85),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85" s="88">
        <f t="array" ref="O85">IFNA(
  LET(
    colaborador, TRIM(O$1),
    tipo, TRIM($B85),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86">
      <c r="A86" s="90" t="s">
        <v>151</v>
      </c>
      <c r="B86" s="88" t="str">
        <f>IFERROR(__xludf.DUMMYFUNCTION("""COMPUTED_VALUE"""),"Antropic")</f>
        <v>Antropic</v>
      </c>
      <c r="C86" s="89">
        <f t="array" ref="C86">IFNA(
  LET(
    colaborador, TRIM(C$1),
    tipo, TRIM($B86),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86" s="89">
        <f t="array" ref="D86">IFNA(
  LET(
    colaborador, TRIM(D$1),
    tipo, TRIM($B86),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86" s="89">
        <f t="array" ref="E86">IFNA(
  LET(
    colaborador, TRIM(E$1),
    tipo, TRIM($B86),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86" s="89">
        <f t="array" ref="F86">IFNA(
  LET(
    colaborador, TRIM(F$1),
    tipo, TRIM($B86),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280.74</v>
      </c>
      <c r="G86" s="89">
        <f t="array" ref="G86">IFNA(
  LET(
    colaborador, TRIM(G$1),
    tipo, TRIM($B86),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86" s="89">
        <f t="array" ref="H86">IFNA(
  LET(
    colaborador, TRIM(H$1),
    tipo, TRIM($B86),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86" s="88">
        <f t="array" ref="I86">IFNA(
  LET(
    colaborador, TRIM(I$1),
    tipo, TRIM($B86),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86" s="88">
        <f t="array" ref="J86">IFNA(
  LET(
    colaborador, TRIM(J$1),
    tipo, TRIM($B86),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86" s="88">
        <f t="array" ref="K86">IFNA(
  LET(
    colaborador, TRIM(K$1),
    tipo, TRIM($B86),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86" s="88">
        <f t="array" ref="L86">IFNA(
  LET(
    colaborador, TRIM(L$1),
    tipo, TRIM($B86),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86" s="88">
        <f t="array" ref="M86">IFNA(
  LET(
    colaborador, TRIM(M$1),
    tipo, TRIM($B86),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86" s="88">
        <f t="array" ref="N86">IFNA(
  LET(
    colaborador, TRIM(N$1),
    tipo, TRIM($B86),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86" s="88">
        <f t="array" ref="O86">IFNA(
  LET(
    colaborador, TRIM(O$1),
    tipo, TRIM($B86),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87">
      <c r="A87" s="90" t="s">
        <v>151</v>
      </c>
      <c r="B87" s="88" t="str">
        <f>IFERROR(__xludf.DUMMYFUNCTION("""COMPUTED_VALUE"""),"Google Drive")</f>
        <v>Google Drive</v>
      </c>
      <c r="C87" s="89">
        <f t="array" ref="C87">IFNA(
  LET(
    colaborador, TRIM(C$1),
    tipo, TRIM($B87),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87" s="89">
        <f t="array" ref="D87">IFNA(
  LET(
    colaborador, TRIM(D$1),
    tipo, TRIM($B87),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87" s="89">
        <f t="array" ref="E87">IFNA(
  LET(
    colaborador, TRIM(E$1),
    tipo, TRIM($B87),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87" s="89">
        <f t="array" ref="F87">IFNA(
  LET(
    colaborador, TRIM(F$1),
    tipo, TRIM($B87),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4.5</v>
      </c>
      <c r="G87" s="89">
        <f t="array" ref="G87">IFNA(
  LET(
    colaborador, TRIM(G$1),
    tipo, TRIM($B87),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87" s="89">
        <f t="array" ref="H87">IFNA(
  LET(
    colaborador, TRIM(H$1),
    tipo, TRIM($B87),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87" s="88">
        <f t="array" ref="I87">IFNA(
  LET(
    colaborador, TRIM(I$1),
    tipo, TRIM($B87),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87" s="88">
        <f t="array" ref="J87">IFNA(
  LET(
    colaborador, TRIM(J$1),
    tipo, TRIM($B87),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87" s="88">
        <f t="array" ref="K87">IFNA(
  LET(
    colaborador, TRIM(K$1),
    tipo, TRIM($B87),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87" s="88">
        <f t="array" ref="L87">IFNA(
  LET(
    colaborador, TRIM(L$1),
    tipo, TRIM($B87),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87" s="88">
        <f t="array" ref="M87">IFNA(
  LET(
    colaborador, TRIM(M$1),
    tipo, TRIM($B87),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87" s="88">
        <f t="array" ref="N87">IFNA(
  LET(
    colaborador, TRIM(N$1),
    tipo, TRIM($B87),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87" s="88">
        <f t="array" ref="O87">IFNA(
  LET(
    colaborador, TRIM(O$1),
    tipo, TRIM($B87),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88">
      <c r="A88" s="90" t="s">
        <v>151</v>
      </c>
      <c r="B88" s="88" t="str">
        <f>IFERROR(__xludf.DUMMYFUNCTION("""COMPUTED_VALUE"""),"Ar Cond 4/12")</f>
        <v>Ar Cond 4/12</v>
      </c>
      <c r="C88" s="89">
        <f t="array" ref="C88">IFNA(
  LET(
    colaborador, TRIM(C$1),
    tipo, TRIM($B88),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88" s="89">
        <f t="array" ref="D88">IFNA(
  LET(
    colaborador, TRIM(D$1),
    tipo, TRIM($B88),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88" s="89">
        <f t="array" ref="E88">IFNA(
  LET(
    colaborador, TRIM(E$1),
    tipo, TRIM($B88),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88" s="89">
        <f t="array" ref="F88">IFNA(
  LET(
    colaborador, TRIM(F$1),
    tipo, TRIM($B88),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324.95</v>
      </c>
      <c r="G88" s="89">
        <f t="array" ref="G88">IFNA(
  LET(
    colaborador, TRIM(G$1),
    tipo, TRIM($B88),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88" s="89">
        <f t="array" ref="H88">IFNA(
  LET(
    colaborador, TRIM(H$1),
    tipo, TRIM($B88),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88" s="88">
        <f t="array" ref="I88">IFNA(
  LET(
    colaborador, TRIM(I$1),
    tipo, TRIM($B88),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88" s="88">
        <f t="array" ref="J88">IFNA(
  LET(
    colaborador, TRIM(J$1),
    tipo, TRIM($B88),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88" s="88">
        <f t="array" ref="K88">IFNA(
  LET(
    colaborador, TRIM(K$1),
    tipo, TRIM($B88),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88" s="88">
        <f t="array" ref="L88">IFNA(
  LET(
    colaborador, TRIM(L$1),
    tipo, TRIM($B88),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88" s="88">
        <f t="array" ref="M88">IFNA(
  LET(
    colaborador, TRIM(M$1),
    tipo, TRIM($B88),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88" s="88">
        <f t="array" ref="N88">IFNA(
  LET(
    colaborador, TRIM(N$1),
    tipo, TRIM($B88),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88" s="88">
        <f t="array" ref="O88">IFNA(
  LET(
    colaborador, TRIM(O$1),
    tipo, TRIM($B88),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89">
      <c r="A89" s="90" t="s">
        <v>151</v>
      </c>
      <c r="B89" s="88" t="str">
        <f>IFERROR(__xludf.DUMMYFUNCTION("""COMPUTED_VALUE"""),"Monitores 4/12")</f>
        <v>Monitores 4/12</v>
      </c>
      <c r="C89" s="89">
        <f t="array" ref="C89">IFNA(
  LET(
    colaborador, TRIM(C$1),
    tipo, TRIM($B89),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89" s="89">
        <f t="array" ref="D89">IFNA(
  LET(
    colaborador, TRIM(D$1),
    tipo, TRIM($B89),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89" s="89">
        <f t="array" ref="E89">IFNA(
  LET(
    colaborador, TRIM(E$1),
    tipo, TRIM($B89),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89" s="89">
        <f t="array" ref="F89">IFNA(
  LET(
    colaborador, TRIM(F$1),
    tipo, TRIM($B89),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144.5</v>
      </c>
      <c r="G89" s="89">
        <f t="array" ref="G89">IFNA(
  LET(
    colaborador, TRIM(G$1),
    tipo, TRIM($B89),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89" s="89">
        <f t="array" ref="H89">IFNA(
  LET(
    colaborador, TRIM(H$1),
    tipo, TRIM($B89),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89" s="88">
        <f t="array" ref="I89">IFNA(
  LET(
    colaborador, TRIM(I$1),
    tipo, TRIM($B89),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89" s="88">
        <f t="array" ref="J89">IFNA(
  LET(
    colaborador, TRIM(J$1),
    tipo, TRIM($B89),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89" s="88">
        <f t="array" ref="K89">IFNA(
  LET(
    colaborador, TRIM(K$1),
    tipo, TRIM($B89),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89" s="88">
        <f t="array" ref="L89">IFNA(
  LET(
    colaborador, TRIM(L$1),
    tipo, TRIM($B89),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89" s="88">
        <f t="array" ref="M89">IFNA(
  LET(
    colaborador, TRIM(M$1),
    tipo, TRIM($B89),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89" s="88">
        <f t="array" ref="N89">IFNA(
  LET(
    colaborador, TRIM(N$1),
    tipo, TRIM($B89),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89" s="88">
        <f t="array" ref="O89">IFNA(
  LET(
    colaborador, TRIM(O$1),
    tipo, TRIM($B89),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90">
      <c r="A90" s="90" t="s">
        <v>151</v>
      </c>
      <c r="B90" s="88" t="str">
        <f>IFERROR(__xludf.DUMMYFUNCTION("""COMPUTED_VALUE"""),"Notebooks part 2 - 9/24")</f>
        <v>Notebooks part 2 - 9/24</v>
      </c>
      <c r="C90" s="89">
        <f t="array" ref="C90">IFNA(
  LET(
    colaborador, TRIM(C$1),
    tipo, TRIM($B90),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90" s="89">
        <f t="array" ref="D90">IFNA(
  LET(
    colaborador, TRIM(D$1),
    tipo, TRIM($B90),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90" s="89">
        <f t="array" ref="E90">IFNA(
  LET(
    colaborador, TRIM(E$1),
    tipo, TRIM($B90),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90" s="89">
        <f t="array" ref="F90">IFNA(
  LET(
    colaborador, TRIM(F$1),
    tipo, TRIM($B90),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291.66</v>
      </c>
      <c r="G90" s="89">
        <f t="array" ref="G90">IFNA(
  LET(
    colaborador, TRIM(G$1),
    tipo, TRIM($B90),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90" s="89">
        <f t="array" ref="H90">IFNA(
  LET(
    colaborador, TRIM(H$1),
    tipo, TRIM($B90),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90" s="88">
        <f t="array" ref="I90">IFNA(
  LET(
    colaborador, TRIM(I$1),
    tipo, TRIM($B90),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90" s="88">
        <f t="array" ref="J90">IFNA(
  LET(
    colaborador, TRIM(J$1),
    tipo, TRIM($B90),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90" s="88">
        <f t="array" ref="K90">IFNA(
  LET(
    colaborador, TRIM(K$1),
    tipo, TRIM($B90),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90" s="88">
        <f t="array" ref="L90">IFNA(
  LET(
    colaborador, TRIM(L$1),
    tipo, TRIM($B90),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90" s="88">
        <f t="array" ref="M90">IFNA(
  LET(
    colaborador, TRIM(M$1),
    tipo, TRIM($B90),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90" s="88">
        <f t="array" ref="N90">IFNA(
  LET(
    colaborador, TRIM(N$1),
    tipo, TRIM($B90),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90" s="88">
        <f t="array" ref="O90">IFNA(
  LET(
    colaborador, TRIM(O$1),
    tipo, TRIM($B90),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91">
      <c r="A91" s="90" t="s">
        <v>151</v>
      </c>
      <c r="B91" s="88" t="str">
        <f>IFERROR(__xludf.DUMMYFUNCTION("""COMPUTED_VALUE"""),"Gás de cozinha")</f>
        <v>Gás de cozinha</v>
      </c>
      <c r="C91" s="89">
        <f t="array" ref="C91">IFNA(
  LET(
    colaborador, TRIM(C$1),
    tipo, TRIM($B91),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91" s="89">
        <f t="array" ref="D91">IFNA(
  LET(
    colaborador, TRIM(D$1),
    tipo, TRIM($B91),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91" s="89">
        <f t="array" ref="E91">IFNA(
  LET(
    colaborador, TRIM(E$1),
    tipo, TRIM($B91),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91" s="89">
        <f t="array" ref="F91">IFNA(
  LET(
    colaborador, TRIM(F$1),
    tipo, TRIM($B91),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91" s="89" t="str">
        <f t="array" ref="G91">IFNA(
  LET(
    colaborador, TRIM(G$1),
    tipo, TRIM($B91),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/>
      </c>
      <c r="H91" s="89">
        <f t="array" ref="H91">IFNA(
  LET(
    colaborador, TRIM(H$1),
    tipo, TRIM($B91),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91" s="88">
        <f t="array" ref="I91">IFNA(
  LET(
    colaborador, TRIM(I$1),
    tipo, TRIM($B91),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91" s="88">
        <f t="array" ref="J91">IFNA(
  LET(
    colaborador, TRIM(J$1),
    tipo, TRIM($B91),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91" s="88">
        <f t="array" ref="K91">IFNA(
  LET(
    colaborador, TRIM(K$1),
    tipo, TRIM($B91),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91" s="88">
        <f t="array" ref="L91">IFNA(
  LET(
    colaborador, TRIM(L$1),
    tipo, TRIM($B91),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91" s="88">
        <f t="array" ref="M91">IFNA(
  LET(
    colaborador, TRIM(M$1),
    tipo, TRIM($B91),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91" s="88">
        <f t="array" ref="N91">IFNA(
  LET(
    colaborador, TRIM(N$1),
    tipo, TRIM($B91),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91" s="88">
        <f t="array" ref="O91">IFNA(
  LET(
    colaborador, TRIM(O$1),
    tipo, TRIM($B91),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92">
      <c r="A92" s="90" t="s">
        <v>151</v>
      </c>
      <c r="B92" s="88" t="str">
        <f>IFERROR(__xludf.DUMMYFUNCTION("""COMPUTED_VALUE"""),"recarga chip")</f>
        <v>recarga chip</v>
      </c>
      <c r="C92" s="89">
        <f t="array" ref="C92">IFNA(
  LET(
    colaborador, TRIM(C$1),
    tipo, TRIM($B92),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92" s="89">
        <f t="array" ref="D92">IFNA(
  LET(
    colaborador, TRIM(D$1),
    tipo, TRIM($B92),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92" s="89">
        <f t="array" ref="E92">IFNA(
  LET(
    colaborador, TRIM(E$1),
    tipo, TRIM($B92),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92" s="89">
        <f t="array" ref="F92">IFNA(
  LET(
    colaborador, TRIM(F$1),
    tipo, TRIM($B92),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92" s="89" t="str">
        <f t="array" ref="G92">IFNA(
  LET(
    colaborador, TRIM(G$1),
    tipo, TRIM($B92),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/>
      </c>
      <c r="H92" s="89">
        <f t="array" ref="H92">IFNA(
  LET(
    colaborador, TRIM(H$1),
    tipo, TRIM($B92),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92" s="88">
        <f t="array" ref="I92">IFNA(
  LET(
    colaborador, TRIM(I$1),
    tipo, TRIM($B92),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92" s="88">
        <f t="array" ref="J92">IFNA(
  LET(
    colaborador, TRIM(J$1),
    tipo, TRIM($B92),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92" s="88">
        <f t="array" ref="K92">IFNA(
  LET(
    colaborador, TRIM(K$1),
    tipo, TRIM($B92),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92" s="88">
        <f t="array" ref="L92">IFNA(
  LET(
    colaborador, TRIM(L$1),
    tipo, TRIM($B92),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92" s="88">
        <f t="array" ref="M92">IFNA(
  LET(
    colaborador, TRIM(M$1),
    tipo, TRIM($B92),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92" s="88">
        <f t="array" ref="N92">IFNA(
  LET(
    colaborador, TRIM(N$1),
    tipo, TRIM($B92),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92" s="88">
        <f t="array" ref="O92">IFNA(
  LET(
    colaborador, TRIM(O$1),
    tipo, TRIM($B92),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93">
      <c r="A93" s="90" t="s">
        <v>151</v>
      </c>
      <c r="B93" s="88" t="str">
        <f>IFERROR(__xludf.DUMMYFUNCTION("""COMPUTED_VALUE"""),"Transporte/gasolina")</f>
        <v>Transporte/gasolina</v>
      </c>
      <c r="C93" s="89">
        <f t="array" ref="C93">IFNA(
  LET(
    colaborador, TRIM(C$1),
    tipo, TRIM($B93),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93" s="89">
        <f t="array" ref="D93">IFNA(
  LET(
    colaborador, TRIM(D$1),
    tipo, TRIM($B93),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93" s="89">
        <f t="array" ref="E93">IFNA(
  LET(
    colaborador, TRIM(E$1),
    tipo, TRIM($B93),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93" s="89">
        <f t="array" ref="F93">IFNA(
  LET(
    colaborador, TRIM(F$1),
    tipo, TRIM($B93),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93" s="89">
        <f t="array" ref="G93">IFNA(
  LET(
    colaborador, TRIM(G$1),
    tipo, TRIM($B93),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93" s="89">
        <f t="array" ref="H93">IFNA(
  LET(
    colaborador, TRIM(H$1),
    tipo, TRIM($B93),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540</v>
      </c>
      <c r="I93" s="88">
        <f t="array" ref="I93">IFNA(
  LET(
    colaborador, TRIM(I$1),
    tipo, TRIM($B93),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93" s="88">
        <f t="array" ref="J93">IFNA(
  LET(
    colaborador, TRIM(J$1),
    tipo, TRIM($B93),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93" s="88">
        <f t="array" ref="K93">IFNA(
  LET(
    colaborador, TRIM(K$1),
    tipo, TRIM($B93),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93" s="88">
        <f t="array" ref="L93">IFNA(
  LET(
    colaborador, TRIM(L$1),
    tipo, TRIM($B93),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93" s="88">
        <f t="array" ref="M93">IFNA(
  LET(
    colaborador, TRIM(M$1),
    tipo, TRIM($B93),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93" s="88">
        <f t="array" ref="N93">IFNA(
  LET(
    colaborador, TRIM(N$1),
    tipo, TRIM($B93),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93" s="88">
        <f t="array" ref="O93">IFNA(
  LET(
    colaborador, TRIM(O$1),
    tipo, TRIM($B93),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94">
      <c r="A94" s="90" t="s">
        <v>151</v>
      </c>
      <c r="B94" s="88" t="str">
        <f>IFERROR(__xludf.DUMMYFUNCTION("""COMPUTED_VALUE"""),"Crédito no Chip")</f>
        <v>Crédito no Chip</v>
      </c>
      <c r="C94" s="89">
        <f t="array" ref="C94">IFNA(
  LET(
    colaborador, TRIM(C$1),
    tipo, TRIM($B94),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94" s="89">
        <f t="array" ref="D94">IFNA(
  LET(
    colaborador, TRIM(D$1),
    tipo, TRIM($B94),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94" s="89">
        <f t="array" ref="E94">IFNA(
  LET(
    colaborador, TRIM(E$1),
    tipo, TRIM($B94),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94" s="89">
        <f t="array" ref="F94">IFNA(
  LET(
    colaborador, TRIM(F$1),
    tipo, TRIM($B94),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94" s="89">
        <f t="array" ref="G94">IFNA(
  LET(
    colaborador, TRIM(G$1),
    tipo, TRIM($B94),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94" s="89">
        <f t="array" ref="H94">IFNA(
  LET(
    colaborador, TRIM(H$1),
    tipo, TRIM($B94),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94" s="88">
        <f t="array" ref="I94">IFNA(
  LET(
    colaborador, TRIM(I$1),
    tipo, TRIM($B94),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30</v>
      </c>
      <c r="J94" s="88">
        <f t="array" ref="J94">IFNA(
  LET(
    colaborador, TRIM(J$1),
    tipo, TRIM($B94),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94" s="88">
        <f t="array" ref="K94">IFNA(
  LET(
    colaborador, TRIM(K$1),
    tipo, TRIM($B94),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94" s="88">
        <f t="array" ref="L94">IFNA(
  LET(
    colaborador, TRIM(L$1),
    tipo, TRIM($B94),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94" s="88">
        <f t="array" ref="M94">IFNA(
  LET(
    colaborador, TRIM(M$1),
    tipo, TRIM($B94),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94" s="88">
        <f t="array" ref="N94">IFNA(
  LET(
    colaborador, TRIM(N$1),
    tipo, TRIM($B94),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94" s="88">
        <f t="array" ref="O94">IFNA(
  LET(
    colaborador, TRIM(O$1),
    tipo, TRIM($B94),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95">
      <c r="A95" s="90" t="s">
        <v>151</v>
      </c>
      <c r="B95" s="88" t="str">
        <f>IFERROR(__xludf.DUMMYFUNCTION("""COMPUTED_VALUE"""),"Compra de Ferramentas de Instalação")</f>
        <v>Compra de Ferramentas de Instalação</v>
      </c>
      <c r="C95" s="89">
        <f t="array" ref="C95">IFNA(
  LET(
    colaborador, TRIM(C$1),
    tipo, TRIM($B95),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95" s="89">
        <f t="array" ref="D95">IFNA(
  LET(
    colaborador, TRIM(D$1),
    tipo, TRIM($B95),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95" s="89">
        <f t="array" ref="E95">IFNA(
  LET(
    colaborador, TRIM(E$1),
    tipo, TRIM($B95),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95" s="89">
        <f t="array" ref="F95">IFNA(
  LET(
    colaborador, TRIM(F$1),
    tipo, TRIM($B95),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95" s="89">
        <f t="array" ref="G95">IFNA(
  LET(
    colaborador, TRIM(G$1),
    tipo, TRIM($B95),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95" s="89">
        <f t="array" ref="H95">IFNA(
  LET(
    colaborador, TRIM(H$1),
    tipo, TRIM($B95),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95" s="88" t="str">
        <f t="array" ref="I95">IFNA(
  LET(
    colaborador, TRIM(I$1),
    tipo, TRIM($B95),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/>
      </c>
      <c r="J95" s="88">
        <f t="array" ref="J95">IFNA(
  LET(
    colaborador, TRIM(J$1),
    tipo, TRIM($B95),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95" s="88">
        <f t="array" ref="K95">IFNA(
  LET(
    colaborador, TRIM(K$1),
    tipo, TRIM($B95),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95" s="88">
        <f t="array" ref="L95">IFNA(
  LET(
    colaborador, TRIM(L$1),
    tipo, TRIM($B95),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95" s="88">
        <f t="array" ref="M95">IFNA(
  LET(
    colaborador, TRIM(M$1),
    tipo, TRIM($B95),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95" s="88">
        <f t="array" ref="N95">IFNA(
  LET(
    colaborador, TRIM(N$1),
    tipo, TRIM($B95),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95" s="88">
        <f t="array" ref="O95">IFNA(
  LET(
    colaborador, TRIM(O$1),
    tipo, TRIM($B95),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96">
      <c r="A96" s="90" t="s">
        <v>151</v>
      </c>
      <c r="B96" s="88" t="str">
        <f>IFERROR(__xludf.DUMMYFUNCTION("""COMPUTED_VALUE"""),"Curso Revit 6/12")</f>
        <v>Curso Revit 6/12</v>
      </c>
      <c r="C96" s="89">
        <f t="array" ref="C96">IFNA(
  LET(
    colaborador, TRIM(C$1),
    tipo, TRIM($B96),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96" s="89">
        <f t="array" ref="D96">IFNA(
  LET(
    colaborador, TRIM(D$1),
    tipo, TRIM($B96),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96" s="89">
        <f t="array" ref="E96">IFNA(
  LET(
    colaborador, TRIM(E$1),
    tipo, TRIM($B96),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96" s="89">
        <f t="array" ref="F96">IFNA(
  LET(
    colaborador, TRIM(F$1),
    tipo, TRIM($B96),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96" s="89">
        <f t="array" ref="G96">IFNA(
  LET(
    colaborador, TRIM(G$1),
    tipo, TRIM($B96),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96" s="89">
        <f t="array" ref="H96">IFNA(
  LET(
    colaborador, TRIM(H$1),
    tipo, TRIM($B96),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96" s="88">
        <f t="array" ref="I96">IFNA(
  LET(
    colaborador, TRIM(I$1),
    tipo, TRIM($B96),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96" s="88">
        <f t="array" ref="J96">IFNA(
  LET(
    colaborador, TRIM(J$1),
    tipo, TRIM($B96),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103.11</v>
      </c>
      <c r="K96" s="88">
        <f t="array" ref="K96">IFNA(
  LET(
    colaborador, TRIM(K$1),
    tipo, TRIM($B96),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96" s="88">
        <f t="array" ref="L96">IFNA(
  LET(
    colaborador, TRIM(L$1),
    tipo, TRIM($B96),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96" s="88">
        <f t="array" ref="M96">IFNA(
  LET(
    colaborador, TRIM(M$1),
    tipo, TRIM($B96),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96" s="88">
        <f t="array" ref="N96">IFNA(
  LET(
    colaborador, TRIM(N$1),
    tipo, TRIM($B96),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96" s="88">
        <f t="array" ref="O96">IFNA(
  LET(
    colaborador, TRIM(O$1),
    tipo, TRIM($B96),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97">
      <c r="A97" s="90" t="s">
        <v>151</v>
      </c>
      <c r="B97" s="88" t="str">
        <f>IFERROR(__xludf.DUMMYFUNCTION("""COMPUTED_VALUE"""),"Crédito no Chip bot")</f>
        <v>Crédito no Chip bot</v>
      </c>
      <c r="C97" s="89">
        <f t="array" ref="C97">IFNA(
  LET(
    colaborador, TRIM(C$1),
    tipo, TRIM($B97),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97" s="89">
        <f t="array" ref="D97">IFNA(
  LET(
    colaborador, TRIM(D$1),
    tipo, TRIM($B97),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97" s="89">
        <f t="array" ref="E97">IFNA(
  LET(
    colaborador, TRIM(E$1),
    tipo, TRIM($B97),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97" s="89">
        <f t="array" ref="F97">IFNA(
  LET(
    colaborador, TRIM(F$1),
    tipo, TRIM($B97),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97" s="89">
        <f t="array" ref="G97">IFNA(
  LET(
    colaborador, TRIM(G$1),
    tipo, TRIM($B97),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97" s="89">
        <f t="array" ref="H97">IFNA(
  LET(
    colaborador, TRIM(H$1),
    tipo, TRIM($B97),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97" s="88">
        <f t="array" ref="I97">IFNA(
  LET(
    colaborador, TRIM(I$1),
    tipo, TRIM($B97),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97" s="88">
        <f t="array" ref="J97">IFNA(
  LET(
    colaborador, TRIM(J$1),
    tipo, TRIM($B97),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97" s="88">
        <f t="array" ref="K97">IFNA(
  LET(
    colaborador, TRIM(K$1),
    tipo, TRIM($B97),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60</v>
      </c>
      <c r="L97" s="88">
        <f t="array" ref="L97">IFNA(
  LET(
    colaborador, TRIM(L$1),
    tipo, TRIM($B97),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97" s="88">
        <f t="array" ref="M97">IFNA(
  LET(
    colaborador, TRIM(M$1),
    tipo, TRIM($B97),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97" s="88">
        <f t="array" ref="N97">IFNA(
  LET(
    colaborador, TRIM(N$1),
    tipo, TRIM($B97),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97" s="88">
        <f t="array" ref="O97">IFNA(
  LET(
    colaborador, TRIM(O$1),
    tipo, TRIM($B97),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98">
      <c r="A98" s="90" t="s">
        <v>151</v>
      </c>
      <c r="B98" s="88" t="str">
        <f>IFERROR(__xludf.DUMMYFUNCTION("""COMPUTED_VALUE"""),"gasolina")</f>
        <v>gasolina</v>
      </c>
      <c r="C98" s="89">
        <f t="array" ref="C98">IFNA(
  LET(
    colaborador, TRIM(C$1),
    tipo, TRIM($B98),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98" s="89">
        <f t="array" ref="D98">IFNA(
  LET(
    colaborador, TRIM(D$1),
    tipo, TRIM($B98),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98" s="89">
        <f t="array" ref="E98">IFNA(
  LET(
    colaborador, TRIM(E$1),
    tipo, TRIM($B98),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98" s="89">
        <f t="array" ref="F98">IFNA(
  LET(
    colaborador, TRIM(F$1),
    tipo, TRIM($B98),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98" s="89">
        <f t="array" ref="G98">IFNA(
  LET(
    colaborador, TRIM(G$1),
    tipo, TRIM($B98),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98" s="89">
        <f t="array" ref="H98">IFNA(
  LET(
    colaborador, TRIM(H$1),
    tipo, TRIM($B98),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98" s="88">
        <f t="array" ref="I98">IFNA(
  LET(
    colaborador, TRIM(I$1),
    tipo, TRIM($B98),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98" s="88">
        <f t="array" ref="J98">IFNA(
  LET(
    colaborador, TRIM(J$1),
    tipo, TRIM($B98),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98" s="88">
        <f t="array" ref="K98">IFNA(
  LET(
    colaborador, TRIM(K$1),
    tipo, TRIM($B98),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98" s="88" t="str">
        <f t="array" ref="L98">IFNA(
  LET(
    colaborador, TRIM(L$1),
    tipo, TRIM($B98),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/>
      </c>
      <c r="M98" s="88">
        <f t="array" ref="M98">IFNA(
  LET(
    colaborador, TRIM(M$1),
    tipo, TRIM($B98),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98" s="88">
        <f t="array" ref="N98">IFNA(
  LET(
    colaborador, TRIM(N$1),
    tipo, TRIM($B98),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98" s="88">
        <f t="array" ref="O98">IFNA(
  LET(
    colaborador, TRIM(O$1),
    tipo, TRIM($B98),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99">
      <c r="A99" s="90" t="s">
        <v>151</v>
      </c>
      <c r="B99" s="88" t="str">
        <f>IFERROR(__xludf.DUMMYFUNCTION("""COMPUTED_VALUE"""),"Compras de Material leparc")</f>
        <v>Compras de Material leparc</v>
      </c>
      <c r="C99" s="89">
        <f t="array" ref="C99">IFNA(
  LET(
    colaborador, TRIM(C$1),
    tipo, TRIM($B99),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99" s="89">
        <f t="array" ref="D99">IFNA(
  LET(
    colaborador, TRIM(D$1),
    tipo, TRIM($B99),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99" s="89">
        <f t="array" ref="E99">IFNA(
  LET(
    colaborador, TRIM(E$1),
    tipo, TRIM($B99),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99" s="89">
        <f t="array" ref="F99">IFNA(
  LET(
    colaborador, TRIM(F$1),
    tipo, TRIM($B99),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99" s="89">
        <f t="array" ref="G99">IFNA(
  LET(
    colaborador, TRIM(G$1),
    tipo, TRIM($B99),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99" s="89">
        <f t="array" ref="H99">IFNA(
  LET(
    colaborador, TRIM(H$1),
    tipo, TRIM($B99),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99" s="88">
        <f t="array" ref="I99">IFNA(
  LET(
    colaborador, TRIM(I$1),
    tipo, TRIM($B99),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99" s="88">
        <f t="array" ref="J99">IFNA(
  LET(
    colaborador, TRIM(J$1),
    tipo, TRIM($B99),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99" s="88">
        <f t="array" ref="K99">IFNA(
  LET(
    colaborador, TRIM(K$1),
    tipo, TRIM($B99),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99" s="88" t="str">
        <f t="array" ref="L99">IFNA(
  LET(
    colaborador, TRIM(L$1),
    tipo, TRIM($B99),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/>
      </c>
      <c r="M99" s="88">
        <f t="array" ref="M99">IFNA(
  LET(
    colaborador, TRIM(M$1),
    tipo, TRIM($B99),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99" s="88">
        <f t="array" ref="N99">IFNA(
  LET(
    colaborador, TRIM(N$1),
    tipo, TRIM($B99),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99" s="88">
        <f t="array" ref="O99">IFNA(
  LET(
    colaborador, TRIM(O$1),
    tipo, TRIM($B99),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100">
      <c r="A100" s="90" t="s">
        <v>151</v>
      </c>
      <c r="B100" s="88" t="str">
        <f>IFERROR(__xludf.DUMMYFUNCTION("""COMPUTED_VALUE"""),"almoço")</f>
        <v>almoço</v>
      </c>
      <c r="C100" s="89">
        <f t="array" ref="C100">IFNA(
  LET(
    colaborador, TRIM(C$1),
    tipo, TRIM($B100),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100" s="89">
        <f t="array" ref="D100">IFNA(
  LET(
    colaborador, TRIM(D$1),
    tipo, TRIM($B100),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100" s="89">
        <f t="array" ref="E100">IFNA(
  LET(
    colaborador, TRIM(E$1),
    tipo, TRIM($B100),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100" s="89">
        <f t="array" ref="F100">IFNA(
  LET(
    colaborador, TRIM(F$1),
    tipo, TRIM($B100),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100" s="89">
        <f t="array" ref="G100">IFNA(
  LET(
    colaborador, TRIM(G$1),
    tipo, TRIM($B100),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100" s="89">
        <f t="array" ref="H100">IFNA(
  LET(
    colaborador, TRIM(H$1),
    tipo, TRIM($B100),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100" s="88">
        <f t="array" ref="I100">IFNA(
  LET(
    colaborador, TRIM(I$1),
    tipo, TRIM($B100),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100" s="88">
        <f t="array" ref="J100">IFNA(
  LET(
    colaborador, TRIM(J$1),
    tipo, TRIM($B100),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100" s="88">
        <f t="array" ref="K100">IFNA(
  LET(
    colaborador, TRIM(K$1),
    tipo, TRIM($B100),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100" s="88" t="str">
        <f t="array" ref="L100">IFNA(
  LET(
    colaborador, TRIM(L$1),
    tipo, TRIM($B100),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/>
      </c>
      <c r="M100" s="88">
        <f t="array" ref="M100">IFNA(
  LET(
    colaborador, TRIM(M$1),
    tipo, TRIM($B100),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100" s="88">
        <f t="array" ref="N100">IFNA(
  LET(
    colaborador, TRIM(N$1),
    tipo, TRIM($B100),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100" s="88">
        <f t="array" ref="O100">IFNA(
  LET(
    colaborador, TRIM(O$1),
    tipo, TRIM($B100),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101">
      <c r="A101" s="90" t="s">
        <v>151</v>
      </c>
      <c r="B101" s="88" t="str">
        <f>IFERROR(__xludf.DUMMYFUNCTION("""COMPUTED_VALUE"""),"Hospedagem")</f>
        <v>Hospedagem</v>
      </c>
      <c r="C101" s="89">
        <f t="array" ref="C101">IFNA(
  LET(
    colaborador, TRIM(C$1),
    tipo, TRIM($B101),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101" s="89">
        <f t="array" ref="D101">IFNA(
  LET(
    colaborador, TRIM(D$1),
    tipo, TRIM($B101),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101" s="89">
        <f t="array" ref="E101">IFNA(
  LET(
    colaborador, TRIM(E$1),
    tipo, TRIM($B101),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101" s="89">
        <f t="array" ref="F101">IFNA(
  LET(
    colaborador, TRIM(F$1),
    tipo, TRIM($B101),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101" s="89">
        <f t="array" ref="G101">IFNA(
  LET(
    colaborador, TRIM(G$1),
    tipo, TRIM($B101),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101" s="89">
        <f t="array" ref="H101">IFNA(
  LET(
    colaborador, TRIM(H$1),
    tipo, TRIM($B101),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101" s="88">
        <f t="array" ref="I101">IFNA(
  LET(
    colaborador, TRIM(I$1),
    tipo, TRIM($B101),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101" s="88">
        <f t="array" ref="J101">IFNA(
  LET(
    colaborador, TRIM(J$1),
    tipo, TRIM($B101),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101" s="88">
        <f t="array" ref="K101">IFNA(
  LET(
    colaborador, TRIM(K$1),
    tipo, TRIM($B101),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101" s="88">
        <f t="array" ref="L101">IFNA(
  LET(
    colaborador, TRIM(L$1),
    tipo, TRIM($B101),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101" s="88">
        <f t="array" ref="M101">IFNA(
  LET(
    colaborador, TRIM(M$1),
    tipo, TRIM($B101),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101" s="88">
        <f t="array" ref="N101">IFNA(
  LET(
    colaborador, TRIM(N$1),
    tipo, TRIM($B101),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101" s="88">
        <f t="array" ref="O101">IFNA(
  LET(
    colaborador, TRIM(O$1),
    tipo, TRIM($B101),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102">
      <c r="A102" s="90" t="s">
        <v>151</v>
      </c>
      <c r="B102" s="88" t="str">
        <f>IFERROR(__xludf.DUMMYFUNCTION("""COMPUTED_VALUE"""),"Curso SaaS")</f>
        <v>Curso SaaS</v>
      </c>
      <c r="C102" s="89">
        <f t="array" ref="C102">IFNA(
  LET(
    colaborador, TRIM(C$1),
    tipo, TRIM($B102),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102" s="89">
        <f t="array" ref="D102">IFNA(
  LET(
    colaborador, TRIM(D$1),
    tipo, TRIM($B102),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102" s="89">
        <f t="array" ref="E102">IFNA(
  LET(
    colaborador, TRIM(E$1),
    tipo, TRIM($B102),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102" s="89">
        <f t="array" ref="F102">IFNA(
  LET(
    colaborador, TRIM(F$1),
    tipo, TRIM($B102),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102" s="89">
        <f t="array" ref="G102">IFNA(
  LET(
    colaborador, TRIM(G$1),
    tipo, TRIM($B102),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102" s="89">
        <f t="array" ref="H102">IFNA(
  LET(
    colaborador, TRIM(H$1),
    tipo, TRIM($B102),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102" s="88">
        <f t="array" ref="I102">IFNA(
  LET(
    colaborador, TRIM(I$1),
    tipo, TRIM($B102),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102" s="88">
        <f t="array" ref="J102">IFNA(
  LET(
    colaborador, TRIM(J$1),
    tipo, TRIM($B102),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102" s="88">
        <f t="array" ref="K102">IFNA(
  LET(
    colaborador, TRIM(K$1),
    tipo, TRIM($B102),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102" s="88">
        <f t="array" ref="L102">IFNA(
  LET(
    colaborador, TRIM(L$1),
    tipo, TRIM($B102),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102" s="88">
        <f t="array" ref="M102">IFNA(
  LET(
    colaborador, TRIM(M$1),
    tipo, TRIM($B102),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102" s="88">
        <f t="array" ref="N102">IFNA(
  LET(
    colaborador, TRIM(N$1),
    tipo, TRIM($B102),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O102" s="88">
        <f t="array" ref="O102">IFNA(
  LET(
    colaborador, TRIM(O$1),
    tipo, TRIM($B102),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103">
      <c r="A103" s="90" t="s">
        <v>151</v>
      </c>
      <c r="B103" s="88" t="str">
        <f>IFERROR(__xludf.DUMMYFUNCTION("""COMPUTED_VALUE"""),"Brindes funcionários")</f>
        <v>Brindes funcionários</v>
      </c>
      <c r="C103" s="89">
        <f t="array" ref="C103">IFNA(
  LET(
    colaborador, TRIM(C$1),
    tipo, TRIM($B103),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103" s="89">
        <f t="array" ref="D103">IFNA(
  LET(
    colaborador, TRIM(D$1),
    tipo, TRIM($B103),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103" s="89">
        <f t="array" ref="E103">IFNA(
  LET(
    colaborador, TRIM(E$1),
    tipo, TRIM($B103),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103" s="89">
        <f t="array" ref="F103">IFNA(
  LET(
    colaborador, TRIM(F$1),
    tipo, TRIM($B103),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103" s="89">
        <f t="array" ref="G103">IFNA(
  LET(
    colaborador, TRIM(G$1),
    tipo, TRIM($B103),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103" s="89">
        <f t="array" ref="H103">IFNA(
  LET(
    colaborador, TRIM(H$1),
    tipo, TRIM($B103),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103" s="88">
        <f t="array" ref="I103">IFNA(
  LET(
    colaborador, TRIM(I$1),
    tipo, TRIM($B103),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103" s="88">
        <f t="array" ref="J103">IFNA(
  LET(
    colaborador, TRIM(J$1),
    tipo, TRIM($B103),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103" s="88">
        <f t="array" ref="K103">IFNA(
  LET(
    colaborador, TRIM(K$1),
    tipo, TRIM($B103),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103" s="88">
        <f t="array" ref="L103">IFNA(
  LET(
    colaborador, TRIM(L$1),
    tipo, TRIM($B103),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103" s="88">
        <f t="array" ref="M103">IFNA(
  LET(
    colaborador, TRIM(M$1),
    tipo, TRIM($B103),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103" s="88" t="str">
        <f t="array" ref="N103">IFNA(
  LET(
    colaborador, TRIM(N$1),
    tipo, TRIM($B103),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/>
      </c>
      <c r="O103" s="88">
        <f t="array" ref="O103">IFNA(
  LET(
    colaborador, TRIM(O$1),
    tipo, TRIM($B103),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104">
      <c r="A104" s="91" t="s">
        <v>151</v>
      </c>
      <c r="B104" s="92" t="s">
        <v>150</v>
      </c>
      <c r="C104" s="93">
        <f t="shared" ref="C104:O104" si="3">SUM(C71:C103)</f>
        <v>1854.28</v>
      </c>
      <c r="D104" s="93">
        <f t="shared" si="3"/>
        <v>806.2</v>
      </c>
      <c r="E104" s="93">
        <f t="shared" si="3"/>
        <v>855.89</v>
      </c>
      <c r="F104" s="93">
        <f t="shared" si="3"/>
        <v>1046.35</v>
      </c>
      <c r="G104" s="93">
        <f t="shared" si="3"/>
        <v>129.14</v>
      </c>
      <c r="H104" s="93">
        <f t="shared" si="3"/>
        <v>540</v>
      </c>
      <c r="I104" s="93">
        <f t="shared" si="3"/>
        <v>66.6</v>
      </c>
      <c r="J104" s="93">
        <f t="shared" si="3"/>
        <v>103.11</v>
      </c>
      <c r="K104" s="93">
        <f t="shared" si="3"/>
        <v>310.8</v>
      </c>
      <c r="L104" s="93">
        <f t="shared" si="3"/>
        <v>297.84</v>
      </c>
      <c r="M104" s="93">
        <f t="shared" si="3"/>
        <v>134.17</v>
      </c>
      <c r="N104" s="93">
        <f t="shared" si="3"/>
        <v>0</v>
      </c>
      <c r="O104" s="93">
        <f t="shared" si="3"/>
        <v>0</v>
      </c>
    </row>
    <row r="105">
      <c r="A105" s="90" t="s">
        <v>152</v>
      </c>
      <c r="B105" s="88" t="str">
        <f>IFERROR(__xludf.DUMMYFUNCTION("UNIQUE(
  VSTACK(
    FILTER(
      Abril26!B1:B1027,
      Abril26!B1:B1027&lt;&gt;"""",
      SCAN(
        0,
        Abril26!B1:B1027,
        LAMBDA(acc,x, acc + N(LOWER(TRIM(x))=""tipo"") - N(LOWER(TRIM(x))=""total""))
      )&gt;0,
      LOWER(TRIM(Abril26!"&amp;"B1:B1027))&lt;&gt;""tipo""
    ),
    FILTER(
      Abril26!F1:F988,
      Abril26!F1:F988&lt;&gt;"""",
      SCAN(
        0,
        Abril26!F1:F988,
        LAMBDA(acc,x, acc + N(LOWER(TRIM(x))=""tipo"") - N(LOWER(TRIM(x))=""total""))
      )&gt;0,
      LOWER(TRIM(A"&amp;"bril26!F1:F988))&lt;&gt;""tipo""
    )
  )
)"),"Transporte")</f>
        <v>Transporte</v>
      </c>
      <c r="C105" s="89">
        <f t="array" ref="C105">IFNA(
  LET(
    colaborador, TRIM(C$1),
    tipo, TRIM($B105),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719.84</v>
      </c>
      <c r="D105" s="89">
        <f t="array" ref="D105">IFNA(
  LET(
    colaborador, TRIM(D$1),
    tipo, TRIM($B105),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05" s="89">
        <f t="array" ref="E105">IFNA(
  LET(
    colaborador, TRIM(E$1),
    tipo, TRIM($B105),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05" s="89">
        <f t="array" ref="F105">IFNA(
  LET(
    colaborador, TRIM(F$1),
    tipo, TRIM($B105),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05" s="89">
        <f t="array" ref="G105">IFNA(
  LET(
    colaborador, TRIM(G$1),
    tipo, TRIM($B105),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156.1</v>
      </c>
      <c r="H105" s="89">
        <f t="array" ref="H105">IFNA(
  LET(
    colaborador, TRIM(H$1),
    tipo, TRIM($B105),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05" s="88" t="str">
        <f t="array" ref="I105">IFNA(
  LET(
    colaborador, TRIM(I$1),
    tipo, TRIM($B105),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/>
      </c>
      <c r="J105" s="88" t="str">
        <f t="array" ref="J105">IFNA(
  LET(
    colaborador, TRIM(J$1),
    tipo, TRIM($B105),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/>
      </c>
      <c r="K105" s="88">
        <f t="array" ref="K105">IFNA(
  LET(
    colaborador, TRIM(K$1),
    tipo, TRIM($B105),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84.06</v>
      </c>
      <c r="L105" s="88">
        <f t="array" ref="L105">IFNA(
  LET(
    colaborador, TRIM(L$1),
    tipo, TRIM($B105),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204.24</v>
      </c>
      <c r="M105" s="88">
        <f t="array" ref="M105">IFNA(
  LET(
    colaborador, TRIM(M$1),
    tipo, TRIM($B105),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109.31</v>
      </c>
      <c r="N105" s="88">
        <f t="array" ref="N105">IFNA(
  LET(
    colaborador, TRIM(N$1),
    tipo, TRIM($B105),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05" s="88">
        <f t="array" ref="O105">IFNA(
  LET(
    colaborador, TRIM(O$1),
    tipo, TRIM($B105),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06">
      <c r="A106" s="90" t="s">
        <v>152</v>
      </c>
      <c r="B106" s="88" t="str">
        <f>IFERROR(__xludf.DUMMYFUNCTION("""COMPUTED_VALUE"""),"Alimentação")</f>
        <v>Alimentação</v>
      </c>
      <c r="C106" s="89">
        <f t="array" ref="C106">IFNA(
  LET(
    colaborador, TRIM(C$1),
    tipo, TRIM($B106),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132.58</v>
      </c>
      <c r="D106" s="89" t="str">
        <f t="array" ref="D106">IFNA(
  LET(
    colaborador, TRIM(D$1),
    tipo, TRIM($B106),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/>
      </c>
      <c r="E106" s="89">
        <f t="array" ref="E106">IFNA(
  LET(
    colaborador, TRIM(E$1),
    tipo, TRIM($B106),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06" s="89">
        <f t="array" ref="F106">IFNA(
  LET(
    colaborador, TRIM(F$1),
    tipo, TRIM($B106),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06" s="89" t="str">
        <f t="array" ref="G106">IFNA(
  LET(
    colaborador, TRIM(G$1),
    tipo, TRIM($B106),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/>
      </c>
      <c r="H106" s="89" t="str">
        <f t="array" ref="H106">IFNA(
  LET(
    colaborador, TRIM(H$1),
    tipo, TRIM($B106),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/>
      </c>
      <c r="I106" s="88" t="str">
        <f t="array" ref="I106">IFNA(
  LET(
    colaborador, TRIM(I$1),
    tipo, TRIM($B106),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/>
      </c>
      <c r="J106" s="88">
        <f t="array" ref="J106">IFNA(
  LET(
    colaborador, TRIM(J$1),
    tipo, TRIM($B106),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06" s="88" t="str">
        <f t="array" ref="K106">IFNA(
  LET(
    colaborador, TRIM(K$1),
    tipo, TRIM($B106),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/>
      </c>
      <c r="L106" s="88">
        <f t="array" ref="L106">IFNA(
  LET(
    colaborador, TRIM(L$1),
    tipo, TRIM($B106),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06" s="88">
        <f t="array" ref="M106">IFNA(
  LET(
    colaborador, TRIM(M$1),
    tipo, TRIM($B106),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06" s="88">
        <f t="array" ref="N106">IFNA(
  LET(
    colaborador, TRIM(N$1),
    tipo, TRIM($B106),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06" s="88">
        <f t="array" ref="O106">IFNA(
  LET(
    colaborador, TRIM(O$1),
    tipo, TRIM($B106),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07">
      <c r="A107" s="90" t="s">
        <v>152</v>
      </c>
      <c r="B107" s="88" t="str">
        <f>IFERROR(__xludf.DUMMYFUNCTION("""COMPUTED_VALUE"""),"Almoço com Cliente")</f>
        <v>Almoço com Cliente</v>
      </c>
      <c r="C107" s="89" t="str">
        <f t="array" ref="C107">IFNA(
  LET(
    colaborador, TRIM(C$1),
    tipo, TRIM($B107),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/>
      </c>
      <c r="D107" s="89">
        <f t="array" ref="D107">IFNA(
  LET(
    colaborador, TRIM(D$1),
    tipo, TRIM($B107),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07" s="89">
        <f t="array" ref="E107">IFNA(
  LET(
    colaborador, TRIM(E$1),
    tipo, TRIM($B107),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07" s="89">
        <f t="array" ref="F107">IFNA(
  LET(
    colaborador, TRIM(F$1),
    tipo, TRIM($B107),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07" s="89">
        <f t="array" ref="G107">IFNA(
  LET(
    colaborador, TRIM(G$1),
    tipo, TRIM($B107),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07" s="89">
        <f t="array" ref="H107">IFNA(
  LET(
    colaborador, TRIM(H$1),
    tipo, TRIM($B107),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07" s="88">
        <f t="array" ref="I107">IFNA(
  LET(
    colaborador, TRIM(I$1),
    tipo, TRIM($B107),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07" s="88">
        <f t="array" ref="J107">IFNA(
  LET(
    colaborador, TRIM(J$1),
    tipo, TRIM($B107),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07" s="88">
        <f t="array" ref="K107">IFNA(
  LET(
    colaborador, TRIM(K$1),
    tipo, TRIM($B107),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07" s="88">
        <f t="array" ref="L107">IFNA(
  LET(
    colaborador, TRIM(L$1),
    tipo, TRIM($B107),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07" s="88">
        <f t="array" ref="M107">IFNA(
  LET(
    colaborador, TRIM(M$1),
    tipo, TRIM($B107),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07" s="88">
        <f t="array" ref="N107">IFNA(
  LET(
    colaborador, TRIM(N$1),
    tipo, TRIM($B107),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07" s="88">
        <f t="array" ref="O107">IFNA(
  LET(
    colaborador, TRIM(O$1),
    tipo, TRIM($B107),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08">
      <c r="A108" s="90" t="s">
        <v>152</v>
      </c>
      <c r="B108" s="88" t="str">
        <f>IFERROR(__xludf.DUMMYFUNCTION("""COMPUTED_VALUE"""),"Compra do Pc 5/6")</f>
        <v>Compra do Pc 5/6</v>
      </c>
      <c r="C108" s="89">
        <f t="array" ref="C108">IFNA(
  LET(
    colaborador, TRIM(C$1),
    tipo, TRIM($B108),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379</v>
      </c>
      <c r="D108" s="89">
        <f t="array" ref="D108">IFNA(
  LET(
    colaborador, TRIM(D$1),
    tipo, TRIM($B108),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08" s="89">
        <f t="array" ref="E108">IFNA(
  LET(
    colaborador, TRIM(E$1),
    tipo, TRIM($B108),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08" s="89">
        <f t="array" ref="F108">IFNA(
  LET(
    colaborador, TRIM(F$1),
    tipo, TRIM($B108),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08" s="89">
        <f t="array" ref="G108">IFNA(
  LET(
    colaborador, TRIM(G$1),
    tipo, TRIM($B108),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08" s="89">
        <f t="array" ref="H108">IFNA(
  LET(
    colaborador, TRIM(H$1),
    tipo, TRIM($B108),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08" s="88">
        <f t="array" ref="I108">IFNA(
  LET(
    colaborador, TRIM(I$1),
    tipo, TRIM($B108),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08" s="88">
        <f t="array" ref="J108">IFNA(
  LET(
    colaborador, TRIM(J$1),
    tipo, TRIM($B108),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08" s="88">
        <f t="array" ref="K108">IFNA(
  LET(
    colaborador, TRIM(K$1),
    tipo, TRIM($B108),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08" s="88">
        <f t="array" ref="L108">IFNA(
  LET(
    colaborador, TRIM(L$1),
    tipo, TRIM($B108),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08" s="88">
        <f t="array" ref="M108">IFNA(
  LET(
    colaborador, TRIM(M$1),
    tipo, TRIM($B108),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08" s="88">
        <f t="array" ref="N108">IFNA(
  LET(
    colaborador, TRIM(N$1),
    tipo, TRIM($B108),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08" s="88">
        <f t="array" ref="O108">IFNA(
  LET(
    colaborador, TRIM(O$1),
    tipo, TRIM($B108),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09">
      <c r="A109" s="90" t="s">
        <v>152</v>
      </c>
      <c r="B109" s="88" t="str">
        <f>IFERROR(__xludf.DUMMYFUNCTION("""COMPUTED_VALUE"""),"Transporte/Manutenção")</f>
        <v>Transporte/Manutenção</v>
      </c>
      <c r="C109" s="89">
        <f t="array" ref="C109">IFNA(
  LET(
    colaborador, TRIM(C$1),
    tipo, TRIM($B109),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09" s="89">
        <f t="array" ref="D109">IFNA(
  LET(
    colaborador, TRIM(D$1),
    tipo, TRIM($B109),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270.88</v>
      </c>
      <c r="E109" s="89">
        <f t="array" ref="E109">IFNA(
  LET(
    colaborador, TRIM(E$1),
    tipo, TRIM($B109),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09" s="89" t="str">
        <f t="array" ref="F109">IFNA(
  LET(
    colaborador, TRIM(F$1),
    tipo, TRIM($B109),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/>
      </c>
      <c r="G109" s="89">
        <f t="array" ref="G109">IFNA(
  LET(
    colaborador, TRIM(G$1),
    tipo, TRIM($B109),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09" s="89">
        <f t="array" ref="H109">IFNA(
  LET(
    colaborador, TRIM(H$1),
    tipo, TRIM($B109),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09" s="88">
        <f t="array" ref="I109">IFNA(
  LET(
    colaborador, TRIM(I$1),
    tipo, TRIM($B109),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09" s="88">
        <f t="array" ref="J109">IFNA(
  LET(
    colaborador, TRIM(J$1),
    tipo, TRIM($B109),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09" s="88">
        <f t="array" ref="K109">IFNA(
  LET(
    colaborador, TRIM(K$1),
    tipo, TRIM($B109),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09" s="88">
        <f t="array" ref="L109">IFNA(
  LET(
    colaborador, TRIM(L$1),
    tipo, TRIM($B109),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09" s="88">
        <f t="array" ref="M109">IFNA(
  LET(
    colaborador, TRIM(M$1),
    tipo, TRIM($B109),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09" s="88">
        <f t="array" ref="N109">IFNA(
  LET(
    colaborador, TRIM(N$1),
    tipo, TRIM($B109),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09" s="88">
        <f t="array" ref="O109">IFNA(
  LET(
    colaborador, TRIM(O$1),
    tipo, TRIM($B109),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10">
      <c r="A110" s="90" t="s">
        <v>152</v>
      </c>
      <c r="B110" s="88" t="str">
        <f>IFERROR(__xludf.DUMMYFUNCTION("""COMPUTED_VALUE"""),"Plano telefone + Internet chip xpe")</f>
        <v>Plano telefone + Internet chip xpe</v>
      </c>
      <c r="C110" s="89">
        <f t="array" ref="C110">IFNA(
  LET(
    colaborador, TRIM(C$1),
    tipo, TRIM($B110),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10" s="89">
        <f t="array" ref="D110">IFNA(
  LET(
    colaborador, TRIM(D$1),
    tipo, TRIM($B110),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88.88</v>
      </c>
      <c r="E110" s="89">
        <f t="array" ref="E110">IFNA(
  LET(
    colaborador, TRIM(E$1),
    tipo, TRIM($B110),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10" s="89">
        <f t="array" ref="F110">IFNA(
  LET(
    colaborador, TRIM(F$1),
    tipo, TRIM($B110),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10" s="89">
        <f t="array" ref="G110">IFNA(
  LET(
    colaborador, TRIM(G$1),
    tipo, TRIM($B110),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10" s="89">
        <f t="array" ref="H110">IFNA(
  LET(
    colaborador, TRIM(H$1),
    tipo, TRIM($B110),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10" s="88">
        <f t="array" ref="I110">IFNA(
  LET(
    colaborador, TRIM(I$1),
    tipo, TRIM($B110),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10" s="88">
        <f t="array" ref="J110">IFNA(
  LET(
    colaborador, TRIM(J$1),
    tipo, TRIM($B110),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10" s="88">
        <f t="array" ref="K110">IFNA(
  LET(
    colaborador, TRIM(K$1),
    tipo, TRIM($B110),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10" s="88">
        <f t="array" ref="L110">IFNA(
  LET(
    colaborador, TRIM(L$1),
    tipo, TRIM($B110),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10" s="88">
        <f t="array" ref="M110">IFNA(
  LET(
    colaborador, TRIM(M$1),
    tipo, TRIM($B110),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10" s="88">
        <f t="array" ref="N110">IFNA(
  LET(
    colaborador, TRIM(N$1),
    tipo, TRIM($B110),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10" s="88">
        <f t="array" ref="O110">IFNA(
  LET(
    colaborador, TRIM(O$1),
    tipo, TRIM($B110),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11">
      <c r="A111" s="90" t="s">
        <v>152</v>
      </c>
      <c r="B111" s="88" t="str">
        <f>IFERROR(__xludf.DUMMYFUNCTION("""COMPUTED_VALUE"""),"Cadeiras + Microfone 6/14")</f>
        <v>Cadeiras + Microfone 6/14</v>
      </c>
      <c r="C111" s="89">
        <f t="array" ref="C111">IFNA(
  LET(
    colaborador, TRIM(C$1),
    tipo, TRIM($B111),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11" s="89">
        <f t="array" ref="D111">IFNA(
  LET(
    colaborador, TRIM(D$1),
    tipo, TRIM($B111),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221.44</v>
      </c>
      <c r="E111" s="89">
        <f t="array" ref="E111">IFNA(
  LET(
    colaborador, TRIM(E$1),
    tipo, TRIM($B111),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11" s="89">
        <f t="array" ref="F111">IFNA(
  LET(
    colaborador, TRIM(F$1),
    tipo, TRIM($B111),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11" s="89">
        <f t="array" ref="G111">IFNA(
  LET(
    colaborador, TRIM(G$1),
    tipo, TRIM($B111),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11" s="89">
        <f t="array" ref="H111">IFNA(
  LET(
    colaborador, TRIM(H$1),
    tipo, TRIM($B111),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11" s="88">
        <f t="array" ref="I111">IFNA(
  LET(
    colaborador, TRIM(I$1),
    tipo, TRIM($B111),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11" s="88">
        <f t="array" ref="J111">IFNA(
  LET(
    colaborador, TRIM(J$1),
    tipo, TRIM($B111),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11" s="88">
        <f t="array" ref="K111">IFNA(
  LET(
    colaborador, TRIM(K$1),
    tipo, TRIM($B111),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11" s="88">
        <f t="array" ref="L111">IFNA(
  LET(
    colaborador, TRIM(L$1),
    tipo, TRIM($B111),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11" s="88">
        <f t="array" ref="M111">IFNA(
  LET(
    colaborador, TRIM(M$1),
    tipo, TRIM($B111),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11" s="88">
        <f t="array" ref="N111">IFNA(
  LET(
    colaborador, TRIM(N$1),
    tipo, TRIM($B111),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11" s="88">
        <f t="array" ref="O111">IFNA(
  LET(
    colaborador, TRIM(O$1),
    tipo, TRIM($B111),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12">
      <c r="A112" s="90" t="s">
        <v>152</v>
      </c>
      <c r="B112" s="88" t="str">
        <f>IFERROR(__xludf.DUMMYFUNCTION("""COMPUTED_VALUE"""),"Impressora 3D 4/12")</f>
        <v>Impressora 3D 4/12</v>
      </c>
      <c r="C112" s="89">
        <f t="array" ref="C112">IFNA(
  LET(
    colaborador, TRIM(C$1),
    tipo, TRIM($B112),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12" s="89">
        <f t="array" ref="D112">IFNA(
  LET(
    colaborador, TRIM(D$1),
    tipo, TRIM($B112),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284.91</v>
      </c>
      <c r="E112" s="89">
        <f t="array" ref="E112">IFNA(
  LET(
    colaborador, TRIM(E$1),
    tipo, TRIM($B112),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12" s="89">
        <f t="array" ref="F112">IFNA(
  LET(
    colaborador, TRIM(F$1),
    tipo, TRIM($B112),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12" s="89">
        <f t="array" ref="G112">IFNA(
  LET(
    colaborador, TRIM(G$1),
    tipo, TRIM($B112),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12" s="89">
        <f t="array" ref="H112">IFNA(
  LET(
    colaborador, TRIM(H$1),
    tipo, TRIM($B112),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12" s="88">
        <f t="array" ref="I112">IFNA(
  LET(
    colaborador, TRIM(I$1),
    tipo, TRIM($B112),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12" s="88">
        <f t="array" ref="J112">IFNA(
  LET(
    colaborador, TRIM(J$1),
    tipo, TRIM($B112),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12" s="88">
        <f t="array" ref="K112">IFNA(
  LET(
    colaborador, TRIM(K$1),
    tipo, TRIM($B112),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12" s="88">
        <f t="array" ref="L112">IFNA(
  LET(
    colaborador, TRIM(L$1),
    tipo, TRIM($B112),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12" s="88">
        <f t="array" ref="M112">IFNA(
  LET(
    colaborador, TRIM(M$1),
    tipo, TRIM($B112),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12" s="88">
        <f t="array" ref="N112">IFNA(
  LET(
    colaborador, TRIM(N$1),
    tipo, TRIM($B112),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12" s="88">
        <f t="array" ref="O112">IFNA(
  LET(
    colaborador, TRIM(O$1),
    tipo, TRIM($B112),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13">
      <c r="A113" s="90" t="s">
        <v>152</v>
      </c>
      <c r="B113" s="88" t="str">
        <f>IFERROR(__xludf.DUMMYFUNCTION("""COMPUTED_VALUE"""),"Combustível")</f>
        <v>Combustível</v>
      </c>
      <c r="C113" s="89">
        <f t="array" ref="C113">IFNA(
  LET(
    colaborador, TRIM(C$1),
    tipo, TRIM($B113),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13" s="89">
        <f t="array" ref="D113">IFNA(
  LET(
    colaborador, TRIM(D$1),
    tipo, TRIM($B113),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13" s="89" t="str">
        <f t="array" ref="E113">IFNA(
  LET(
    colaborador, TRIM(E$1),
    tipo, TRIM($B113),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/>
      </c>
      <c r="F113" s="89">
        <f t="array" ref="F113">IFNA(
  LET(
    colaborador, TRIM(F$1),
    tipo, TRIM($B113),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13" s="89">
        <f t="array" ref="G113">IFNA(
  LET(
    colaborador, TRIM(G$1),
    tipo, TRIM($B113),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13" s="89">
        <f t="array" ref="H113">IFNA(
  LET(
    colaborador, TRIM(H$1),
    tipo, TRIM($B113),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13" s="88">
        <f t="array" ref="I113">IFNA(
  LET(
    colaborador, TRIM(I$1),
    tipo, TRIM($B113),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13" s="88">
        <f t="array" ref="J113">IFNA(
  LET(
    colaborador, TRIM(J$1),
    tipo, TRIM($B113),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13" s="88">
        <f t="array" ref="K113">IFNA(
  LET(
    colaborador, TRIM(K$1),
    tipo, TRIM($B113),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13" s="88">
        <f t="array" ref="L113">IFNA(
  LET(
    colaborador, TRIM(L$1),
    tipo, TRIM($B113),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13" s="88">
        <f t="array" ref="M113">IFNA(
  LET(
    colaborador, TRIM(M$1),
    tipo, TRIM($B113),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13" s="88">
        <f t="array" ref="N113">IFNA(
  LET(
    colaborador, TRIM(N$1),
    tipo, TRIM($B113),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13" s="88">
        <f t="array" ref="O113">IFNA(
  LET(
    colaborador, TRIM(O$1),
    tipo, TRIM($B113),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14">
      <c r="A114" s="90" t="s">
        <v>152</v>
      </c>
      <c r="B114" s="88" t="str">
        <f>IFERROR(__xludf.DUMMYFUNCTION("""COMPUTED_VALUE"""),"Alimentação Visitas")</f>
        <v>Alimentação Visitas</v>
      </c>
      <c r="C114" s="89">
        <f t="array" ref="C114">IFNA(
  LET(
    colaborador, TRIM(C$1),
    tipo, TRIM($B114),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14" s="89">
        <f t="array" ref="D114">IFNA(
  LET(
    colaborador, TRIM(D$1),
    tipo, TRIM($B114),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14" s="89" t="str">
        <f t="array" ref="E114">IFNA(
  LET(
    colaborador, TRIM(E$1),
    tipo, TRIM($B114),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/>
      </c>
      <c r="F114" s="89">
        <f t="array" ref="F114">IFNA(
  LET(
    colaborador, TRIM(F$1),
    tipo, TRIM($B114),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14" s="89">
        <f t="array" ref="G114">IFNA(
  LET(
    colaborador, TRIM(G$1),
    tipo, TRIM($B114),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14" s="89">
        <f t="array" ref="H114">IFNA(
  LET(
    colaborador, TRIM(H$1),
    tipo, TRIM($B114),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14" s="88">
        <f t="array" ref="I114">IFNA(
  LET(
    colaborador, TRIM(I$1),
    tipo, TRIM($B114),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14" s="88">
        <f t="array" ref="J114">IFNA(
  LET(
    colaborador, TRIM(J$1),
    tipo, TRIM($B114),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14" s="88">
        <f t="array" ref="K114">IFNA(
  LET(
    colaborador, TRIM(K$1),
    tipo, TRIM($B114),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14" s="88">
        <f t="array" ref="L114">IFNA(
  LET(
    colaborador, TRIM(L$1),
    tipo, TRIM($B114),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14" s="88">
        <f t="array" ref="M114">IFNA(
  LET(
    colaborador, TRIM(M$1),
    tipo, TRIM($B114),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14" s="88">
        <f t="array" ref="N114">IFNA(
  LET(
    colaborador, TRIM(N$1),
    tipo, TRIM($B114),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14" s="88">
        <f t="array" ref="O114">IFNA(
  LET(
    colaborador, TRIM(O$1),
    tipo, TRIM($B114),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15">
      <c r="A115" s="90" t="s">
        <v>152</v>
      </c>
      <c r="B115" s="88" t="str">
        <f>IFERROR(__xludf.DUMMYFUNCTION("""COMPUTED_VALUE"""),"Uber")</f>
        <v>Uber</v>
      </c>
      <c r="C115" s="89">
        <f t="array" ref="C115">IFNA(
  LET(
    colaborador, TRIM(C$1),
    tipo, TRIM($B115),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15" s="89">
        <f t="array" ref="D115">IFNA(
  LET(
    colaborador, TRIM(D$1),
    tipo, TRIM($B115),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15" s="89">
        <f t="array" ref="E115">IFNA(
  LET(
    colaborador, TRIM(E$1),
    tipo, TRIM($B115),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721.43</v>
      </c>
      <c r="F115" s="89">
        <f t="array" ref="F115">IFNA(
  LET(
    colaborador, TRIM(F$1),
    tipo, TRIM($B115),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15" s="89">
        <f t="array" ref="G115">IFNA(
  LET(
    colaborador, TRIM(G$1),
    tipo, TRIM($B115),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15" s="89">
        <f t="array" ref="H115">IFNA(
  LET(
    colaborador, TRIM(H$1),
    tipo, TRIM($B115),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15" s="88">
        <f t="array" ref="I115">IFNA(
  LET(
    colaborador, TRIM(I$1),
    tipo, TRIM($B115),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15" s="88">
        <f t="array" ref="J115">IFNA(
  LET(
    colaborador, TRIM(J$1),
    tipo, TRIM($B115),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15" s="88">
        <f t="array" ref="K115">IFNA(
  LET(
    colaborador, TRIM(K$1),
    tipo, TRIM($B115),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15" s="88">
        <f t="array" ref="L115">IFNA(
  LET(
    colaborador, TRIM(L$1),
    tipo, TRIM($B115),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15" s="88">
        <f t="array" ref="M115">IFNA(
  LET(
    colaborador, TRIM(M$1),
    tipo, TRIM($B115),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15" s="88">
        <f t="array" ref="N115">IFNA(
  LET(
    colaborador, TRIM(N$1),
    tipo, TRIM($B115),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143.2</v>
      </c>
      <c r="O115" s="88">
        <f t="array" ref="O115">IFNA(
  LET(
    colaborador, TRIM(O$1),
    tipo, TRIM($B115),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16">
      <c r="A116" s="90" t="s">
        <v>152</v>
      </c>
      <c r="B116" s="88" t="str">
        <f>IFERROR(__xludf.DUMMYFUNCTION("""COMPUTED_VALUE"""),"Lojão do condomínio")</f>
        <v>Lojão do condomínio</v>
      </c>
      <c r="C116" s="89">
        <f t="array" ref="C116">IFNA(
  LET(
    colaborador, TRIM(C$1),
    tipo, TRIM($B116),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16" s="89">
        <f t="array" ref="D116">IFNA(
  LET(
    colaborador, TRIM(D$1),
    tipo, TRIM($B116),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16" s="89" t="str">
        <f t="array" ref="E116">IFNA(
  LET(
    colaborador, TRIM(E$1),
    tipo, TRIM($B116),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/>
      </c>
      <c r="F116" s="89">
        <f t="array" ref="F116">IFNA(
  LET(
    colaborador, TRIM(F$1),
    tipo, TRIM($B116),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16" s="89">
        <f t="array" ref="G116">IFNA(
  LET(
    colaborador, TRIM(G$1),
    tipo, TRIM($B116),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16" s="89">
        <f t="array" ref="H116">IFNA(
  LET(
    colaborador, TRIM(H$1),
    tipo, TRIM($B116),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16" s="88">
        <f t="array" ref="I116">IFNA(
  LET(
    colaborador, TRIM(I$1),
    tipo, TRIM($B116),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16" s="88">
        <f t="array" ref="J116">IFNA(
  LET(
    colaborador, TRIM(J$1),
    tipo, TRIM($B116),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16" s="88">
        <f t="array" ref="K116">IFNA(
  LET(
    colaborador, TRIM(K$1),
    tipo, TRIM($B116),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16" s="88">
        <f t="array" ref="L116">IFNA(
  LET(
    colaborador, TRIM(L$1),
    tipo, TRIM($B116),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16" s="88">
        <f t="array" ref="M116">IFNA(
  LET(
    colaborador, TRIM(M$1),
    tipo, TRIM($B116),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16" s="88">
        <f t="array" ref="N116">IFNA(
  LET(
    colaborador, TRIM(N$1),
    tipo, TRIM($B116),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16" s="88">
        <f t="array" ref="O116">IFNA(
  LET(
    colaborador, TRIM(O$1),
    tipo, TRIM($B116),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17">
      <c r="A117" s="90" t="s">
        <v>152</v>
      </c>
      <c r="B117" s="88" t="str">
        <f>IFERROR(__xludf.DUMMYFUNCTION("""COMPUTED_VALUE"""),"Curso MUC 12/12")</f>
        <v>Curso MUC 12/12</v>
      </c>
      <c r="C117" s="89">
        <f t="array" ref="C117">IFNA(
  LET(
    colaborador, TRIM(C$1),
    tipo, TRIM($B117),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17" s="89">
        <f t="array" ref="D117">IFNA(
  LET(
    colaborador, TRIM(D$1),
    tipo, TRIM($B117),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17" s="89">
        <f t="array" ref="E117">IFNA(
  LET(
    colaborador, TRIM(E$1),
    tipo, TRIM($B117),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99.7</v>
      </c>
      <c r="F117" s="89">
        <f t="array" ref="F117">IFNA(
  LET(
    colaborador, TRIM(F$1),
    tipo, TRIM($B117),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17" s="89">
        <f t="array" ref="G117">IFNA(
  LET(
    colaborador, TRIM(G$1),
    tipo, TRIM($B117),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17" s="89">
        <f t="array" ref="H117">IFNA(
  LET(
    colaborador, TRIM(H$1),
    tipo, TRIM($B117),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17" s="88">
        <f t="array" ref="I117">IFNA(
  LET(
    colaborador, TRIM(I$1),
    tipo, TRIM($B117),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17" s="88">
        <f t="array" ref="J117">IFNA(
  LET(
    colaborador, TRIM(J$1),
    tipo, TRIM($B117),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17" s="88">
        <f t="array" ref="K117">IFNA(
  LET(
    colaborador, TRIM(K$1),
    tipo, TRIM($B117),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17" s="88">
        <f t="array" ref="L117">IFNA(
  LET(
    colaborador, TRIM(L$1),
    tipo, TRIM($B117),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17" s="88">
        <f t="array" ref="M117">IFNA(
  LET(
    colaborador, TRIM(M$1),
    tipo, TRIM($B117),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17" s="88">
        <f t="array" ref="N117">IFNA(
  LET(
    colaborador, TRIM(N$1),
    tipo, TRIM($B117),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17" s="88">
        <f t="array" ref="O117">IFNA(
  LET(
    colaborador, TRIM(O$1),
    tipo, TRIM($B117),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18">
      <c r="A118" s="90" t="s">
        <v>152</v>
      </c>
      <c r="B118" s="88" t="str">
        <f>IFERROR(__xludf.DUMMYFUNCTION("""COMPUTED_VALUE"""),"ART")</f>
        <v>ART</v>
      </c>
      <c r="C118" s="89">
        <f t="array" ref="C118">IFNA(
  LET(
    colaborador, TRIM(C$1),
    tipo, TRIM($B118),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18" s="89">
        <f t="array" ref="D118">IFNA(
  LET(
    colaborador, TRIM(D$1),
    tipo, TRIM($B118),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18" s="89">
        <f t="array" ref="E118">IFNA(
  LET(
    colaborador, TRIM(E$1),
    tipo, TRIM($B118),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111.38</v>
      </c>
      <c r="F118" s="89">
        <f t="array" ref="F118">IFNA(
  LET(
    colaborador, TRIM(F$1),
    tipo, TRIM($B118),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18" s="89">
        <f t="array" ref="G118">IFNA(
  LET(
    colaborador, TRIM(G$1),
    tipo, TRIM($B118),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18" s="89">
        <f t="array" ref="H118">IFNA(
  LET(
    colaborador, TRIM(H$1),
    tipo, TRIM($B118),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18" s="88">
        <f t="array" ref="I118">IFNA(
  LET(
    colaborador, TRIM(I$1),
    tipo, TRIM($B118),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18" s="88">
        <f t="array" ref="J118">IFNA(
  LET(
    colaborador, TRIM(J$1),
    tipo, TRIM($B118),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18" s="88">
        <f t="array" ref="K118">IFNA(
  LET(
    colaborador, TRIM(K$1),
    tipo, TRIM($B118),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18" s="88">
        <f t="array" ref="L118">IFNA(
  LET(
    colaborador, TRIM(L$1),
    tipo, TRIM($B118),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18" s="88">
        <f t="array" ref="M118">IFNA(
  LET(
    colaborador, TRIM(M$1),
    tipo, TRIM($B118),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18" s="88">
        <f t="array" ref="N118">IFNA(
  LET(
    colaborador, TRIM(N$1),
    tipo, TRIM($B118),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18" s="88">
        <f t="array" ref="O118">IFNA(
  LET(
    colaborador, TRIM(O$1),
    tipo, TRIM($B118),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19">
      <c r="A119" s="90" t="s">
        <v>152</v>
      </c>
      <c r="B119" s="88" t="str">
        <f>IFERROR(__xludf.DUMMYFUNCTION("""COMPUTED_VALUE"""),"Antropic")</f>
        <v>Antropic</v>
      </c>
      <c r="C119" s="89">
        <f t="array" ref="C119">IFNA(
  LET(
    colaborador, TRIM(C$1),
    tipo, TRIM($B119),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19" s="89">
        <f t="array" ref="D119">IFNA(
  LET(
    colaborador, TRIM(D$1),
    tipo, TRIM($B119),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19" s="89">
        <f t="array" ref="E119">IFNA(
  LET(
    colaborador, TRIM(E$1),
    tipo, TRIM($B119),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19" s="89">
        <f t="array" ref="F119">IFNA(
  LET(
    colaborador, TRIM(F$1),
    tipo, TRIM($B119),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280.74</v>
      </c>
      <c r="G119" s="89">
        <f t="array" ref="G119">IFNA(
  LET(
    colaborador, TRIM(G$1),
    tipo, TRIM($B119),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19" s="89">
        <f t="array" ref="H119">IFNA(
  LET(
    colaborador, TRIM(H$1),
    tipo, TRIM($B119),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19" s="88">
        <f t="array" ref="I119">IFNA(
  LET(
    colaborador, TRIM(I$1),
    tipo, TRIM($B119),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19" s="88">
        <f t="array" ref="J119">IFNA(
  LET(
    colaborador, TRIM(J$1),
    tipo, TRIM($B119),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19" s="88">
        <f t="array" ref="K119">IFNA(
  LET(
    colaborador, TRIM(K$1),
    tipo, TRIM($B119),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19" s="88">
        <f t="array" ref="L119">IFNA(
  LET(
    colaborador, TRIM(L$1),
    tipo, TRIM($B119),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19" s="88">
        <f t="array" ref="M119">IFNA(
  LET(
    colaborador, TRIM(M$1),
    tipo, TRIM($B119),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19" s="88">
        <f t="array" ref="N119">IFNA(
  LET(
    colaborador, TRIM(N$1),
    tipo, TRIM($B119),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19" s="88">
        <f t="array" ref="O119">IFNA(
  LET(
    colaborador, TRIM(O$1),
    tipo, TRIM($B119),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20">
      <c r="A120" s="90" t="s">
        <v>152</v>
      </c>
      <c r="B120" s="88" t="str">
        <f>IFERROR(__xludf.DUMMYFUNCTION("""COMPUTED_VALUE"""),"Google Drive")</f>
        <v>Google Drive</v>
      </c>
      <c r="C120" s="89">
        <f t="array" ref="C120">IFNA(
  LET(
    colaborador, TRIM(C$1),
    tipo, TRIM($B120),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20" s="89">
        <f t="array" ref="D120">IFNA(
  LET(
    colaborador, TRIM(D$1),
    tipo, TRIM($B120),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20" s="89">
        <f t="array" ref="E120">IFNA(
  LET(
    colaborador, TRIM(E$1),
    tipo, TRIM($B120),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20" s="89">
        <f t="array" ref="F120">IFNA(
  LET(
    colaborador, TRIM(F$1),
    tipo, TRIM($B120),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4.5</v>
      </c>
      <c r="G120" s="89">
        <f t="array" ref="G120">IFNA(
  LET(
    colaborador, TRIM(G$1),
    tipo, TRIM($B120),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20" s="89">
        <f t="array" ref="H120">IFNA(
  LET(
    colaborador, TRIM(H$1),
    tipo, TRIM($B120),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20" s="88">
        <f t="array" ref="I120">IFNA(
  LET(
    colaborador, TRIM(I$1),
    tipo, TRIM($B120),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20" s="88">
        <f t="array" ref="J120">IFNA(
  LET(
    colaborador, TRIM(J$1),
    tipo, TRIM($B120),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20" s="88">
        <f t="array" ref="K120">IFNA(
  LET(
    colaborador, TRIM(K$1),
    tipo, TRIM($B120),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20" s="88">
        <f t="array" ref="L120">IFNA(
  LET(
    colaborador, TRIM(L$1),
    tipo, TRIM($B120),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20" s="88">
        <f t="array" ref="M120">IFNA(
  LET(
    colaborador, TRIM(M$1),
    tipo, TRIM($B120),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20" s="88">
        <f t="array" ref="N120">IFNA(
  LET(
    colaborador, TRIM(N$1),
    tipo, TRIM($B120),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20" s="88">
        <f t="array" ref="O120">IFNA(
  LET(
    colaborador, TRIM(O$1),
    tipo, TRIM($B120),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21">
      <c r="A121" s="90" t="s">
        <v>152</v>
      </c>
      <c r="B121" s="88" t="str">
        <f>IFERROR(__xludf.DUMMYFUNCTION("""COMPUTED_VALUE"""),"Ar Cond 5/12")</f>
        <v>Ar Cond 5/12</v>
      </c>
      <c r="C121" s="89">
        <f t="array" ref="C121">IFNA(
  LET(
    colaborador, TRIM(C$1),
    tipo, TRIM($B121),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21" s="89">
        <f t="array" ref="D121">IFNA(
  LET(
    colaborador, TRIM(D$1),
    tipo, TRIM($B121),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21" s="89">
        <f t="array" ref="E121">IFNA(
  LET(
    colaborador, TRIM(E$1),
    tipo, TRIM($B121),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21" s="89">
        <f t="array" ref="F121">IFNA(
  LET(
    colaborador, TRIM(F$1),
    tipo, TRIM($B121),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324.95</v>
      </c>
      <c r="G121" s="89">
        <f t="array" ref="G121">IFNA(
  LET(
    colaborador, TRIM(G$1),
    tipo, TRIM($B121),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21" s="89">
        <f t="array" ref="H121">IFNA(
  LET(
    colaborador, TRIM(H$1),
    tipo, TRIM($B121),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21" s="88">
        <f t="array" ref="I121">IFNA(
  LET(
    colaborador, TRIM(I$1),
    tipo, TRIM($B121),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21" s="88">
        <f t="array" ref="J121">IFNA(
  LET(
    colaborador, TRIM(J$1),
    tipo, TRIM($B121),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21" s="88">
        <f t="array" ref="K121">IFNA(
  LET(
    colaborador, TRIM(K$1),
    tipo, TRIM($B121),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21" s="88">
        <f t="array" ref="L121">IFNA(
  LET(
    colaborador, TRIM(L$1),
    tipo, TRIM($B121),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21" s="88">
        <f t="array" ref="M121">IFNA(
  LET(
    colaborador, TRIM(M$1),
    tipo, TRIM($B121),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21" s="88">
        <f t="array" ref="N121">IFNA(
  LET(
    colaborador, TRIM(N$1),
    tipo, TRIM($B121),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21" s="88">
        <f t="array" ref="O121">IFNA(
  LET(
    colaborador, TRIM(O$1),
    tipo, TRIM($B121),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22">
      <c r="A122" s="90" t="s">
        <v>152</v>
      </c>
      <c r="B122" s="88" t="str">
        <f>IFERROR(__xludf.DUMMYFUNCTION("""COMPUTED_VALUE"""),"Monitores 5/12")</f>
        <v>Monitores 5/12</v>
      </c>
      <c r="C122" s="89">
        <f t="array" ref="C122">IFNA(
  LET(
    colaborador, TRIM(C$1),
    tipo, TRIM($B122),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22" s="89">
        <f t="array" ref="D122">IFNA(
  LET(
    colaborador, TRIM(D$1),
    tipo, TRIM($B122),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22" s="89">
        <f t="array" ref="E122">IFNA(
  LET(
    colaborador, TRIM(E$1),
    tipo, TRIM($B122),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22" s="89">
        <f t="array" ref="F122">IFNA(
  LET(
    colaborador, TRIM(F$1),
    tipo, TRIM($B122),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144.5</v>
      </c>
      <c r="G122" s="89">
        <f t="array" ref="G122">IFNA(
  LET(
    colaborador, TRIM(G$1),
    tipo, TRIM($B122),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22" s="89">
        <f t="array" ref="H122">IFNA(
  LET(
    colaborador, TRIM(H$1),
    tipo, TRIM($B122),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22" s="88">
        <f t="array" ref="I122">IFNA(
  LET(
    colaborador, TRIM(I$1),
    tipo, TRIM($B122),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22" s="88">
        <f t="array" ref="J122">IFNA(
  LET(
    colaborador, TRIM(J$1),
    tipo, TRIM($B122),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22" s="88">
        <f t="array" ref="K122">IFNA(
  LET(
    colaborador, TRIM(K$1),
    tipo, TRIM($B122),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22" s="88">
        <f t="array" ref="L122">IFNA(
  LET(
    colaborador, TRIM(L$1),
    tipo, TRIM($B122),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22" s="88">
        <f t="array" ref="M122">IFNA(
  LET(
    colaborador, TRIM(M$1),
    tipo, TRIM($B122),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22" s="88">
        <f t="array" ref="N122">IFNA(
  LET(
    colaborador, TRIM(N$1),
    tipo, TRIM($B122),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22" s="88">
        <f t="array" ref="O122">IFNA(
  LET(
    colaborador, TRIM(O$1),
    tipo, TRIM($B122),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23">
      <c r="A123" s="90" t="s">
        <v>152</v>
      </c>
      <c r="B123" s="88" t="str">
        <f>IFERROR(__xludf.DUMMYFUNCTION("""COMPUTED_VALUE"""),"Notebooks part 2 - 10/24")</f>
        <v>Notebooks part 2 - 10/24</v>
      </c>
      <c r="C123" s="89">
        <f t="array" ref="C123">IFNA(
  LET(
    colaborador, TRIM(C$1),
    tipo, TRIM($B123),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23" s="89">
        <f t="array" ref="D123">IFNA(
  LET(
    colaborador, TRIM(D$1),
    tipo, TRIM($B123),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23" s="89">
        <f t="array" ref="E123">IFNA(
  LET(
    colaborador, TRIM(E$1),
    tipo, TRIM($B123),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23" s="89">
        <f t="array" ref="F123">IFNA(
  LET(
    colaborador, TRIM(F$1),
    tipo, TRIM($B123),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291.66</v>
      </c>
      <c r="G123" s="89">
        <f t="array" ref="G123">IFNA(
  LET(
    colaborador, TRIM(G$1),
    tipo, TRIM($B123),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23" s="89">
        <f t="array" ref="H123">IFNA(
  LET(
    colaborador, TRIM(H$1),
    tipo, TRIM($B123),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23" s="88">
        <f t="array" ref="I123">IFNA(
  LET(
    colaborador, TRIM(I$1),
    tipo, TRIM($B123),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23" s="88">
        <f t="array" ref="J123">IFNA(
  LET(
    colaborador, TRIM(J$1),
    tipo, TRIM($B123),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23" s="88">
        <f t="array" ref="K123">IFNA(
  LET(
    colaborador, TRIM(K$1),
    tipo, TRIM($B123),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23" s="88">
        <f t="array" ref="L123">IFNA(
  LET(
    colaborador, TRIM(L$1),
    tipo, TRIM($B123),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23" s="88">
        <f t="array" ref="M123">IFNA(
  LET(
    colaborador, TRIM(M$1),
    tipo, TRIM($B123),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23" s="88">
        <f t="array" ref="N123">IFNA(
  LET(
    colaborador, TRIM(N$1),
    tipo, TRIM($B123),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23" s="88">
        <f t="array" ref="O123">IFNA(
  LET(
    colaborador, TRIM(O$1),
    tipo, TRIM($B123),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24">
      <c r="A124" s="90" t="s">
        <v>152</v>
      </c>
      <c r="B124" s="88" t="str">
        <f>IFERROR(__xludf.DUMMYFUNCTION("""COMPUTED_VALUE"""),"Resmas Folhas")</f>
        <v>Resmas Folhas</v>
      </c>
      <c r="C124" s="89">
        <f t="array" ref="C124">IFNA(
  LET(
    colaborador, TRIM(C$1),
    tipo, TRIM($B124),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24" s="89">
        <f t="array" ref="D124">IFNA(
  LET(
    colaborador, TRIM(D$1),
    tipo, TRIM($B124),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24" s="89">
        <f t="array" ref="E124">IFNA(
  LET(
    colaborador, TRIM(E$1),
    tipo, TRIM($B124),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24" s="89">
        <f t="array" ref="F124">IFNA(
  LET(
    colaborador, TRIM(F$1),
    tipo, TRIM($B124),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24" s="89">
        <f t="array" ref="G124">IFNA(
  LET(
    colaborador, TRIM(G$1),
    tipo, TRIM($B124),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65.8</v>
      </c>
      <c r="H124" s="89">
        <f t="array" ref="H124">IFNA(
  LET(
    colaborador, TRIM(H$1),
    tipo, TRIM($B124),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24" s="88">
        <f t="array" ref="I124">IFNA(
  LET(
    colaborador, TRIM(I$1),
    tipo, TRIM($B124),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24" s="88">
        <f t="array" ref="J124">IFNA(
  LET(
    colaborador, TRIM(J$1),
    tipo, TRIM($B124),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24" s="88">
        <f t="array" ref="K124">IFNA(
  LET(
    colaborador, TRIM(K$1),
    tipo, TRIM($B124),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24" s="88">
        <f t="array" ref="L124">IFNA(
  LET(
    colaborador, TRIM(L$1),
    tipo, TRIM($B124),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24" s="88">
        <f t="array" ref="M124">IFNA(
  LET(
    colaborador, TRIM(M$1),
    tipo, TRIM($B124),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24" s="88">
        <f t="array" ref="N124">IFNA(
  LET(
    colaborador, TRIM(N$1),
    tipo, TRIM($B124),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24" s="88">
        <f t="array" ref="O124">IFNA(
  LET(
    colaborador, TRIM(O$1),
    tipo, TRIM($B124),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25">
      <c r="A125" s="90" t="s">
        <v>152</v>
      </c>
      <c r="B125" s="88" t="str">
        <f>IFERROR(__xludf.DUMMYFUNCTION("""COMPUTED_VALUE"""),"Cabos e Fita para Inst.")</f>
        <v>Cabos e Fita para Inst.</v>
      </c>
      <c r="C125" s="89">
        <f t="array" ref="C125">IFNA(
  LET(
    colaborador, TRIM(C$1),
    tipo, TRIM($B125),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25" s="89">
        <f t="array" ref="D125">IFNA(
  LET(
    colaborador, TRIM(D$1),
    tipo, TRIM($B125),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25" s="89">
        <f t="array" ref="E125">IFNA(
  LET(
    colaborador, TRIM(E$1),
    tipo, TRIM($B125),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25" s="89">
        <f t="array" ref="F125">IFNA(
  LET(
    colaborador, TRIM(F$1),
    tipo, TRIM($B125),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25" s="89">
        <f t="array" ref="G125">IFNA(
  LET(
    colaborador, TRIM(G$1),
    tipo, TRIM($B125),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307.8</v>
      </c>
      <c r="H125" s="89">
        <f t="array" ref="H125">IFNA(
  LET(
    colaborador, TRIM(H$1),
    tipo, TRIM($B125),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25" s="88">
        <f t="array" ref="I125">IFNA(
  LET(
    colaborador, TRIM(I$1),
    tipo, TRIM($B125),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25" s="88">
        <f t="array" ref="J125">IFNA(
  LET(
    colaborador, TRIM(J$1),
    tipo, TRIM($B125),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25" s="88">
        <f t="array" ref="K125">IFNA(
  LET(
    colaborador, TRIM(K$1),
    tipo, TRIM($B125),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25" s="88">
        <f t="array" ref="L125">IFNA(
  LET(
    colaborador, TRIM(L$1),
    tipo, TRIM($B125),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25" s="88">
        <f t="array" ref="M125">IFNA(
  LET(
    colaborador, TRIM(M$1),
    tipo, TRIM($B125),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25" s="88">
        <f t="array" ref="N125">IFNA(
  LET(
    colaborador, TRIM(N$1),
    tipo, TRIM($B125),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25" s="88">
        <f t="array" ref="O125">IFNA(
  LET(
    colaborador, TRIM(O$1),
    tipo, TRIM($B125),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26">
      <c r="A126" s="90" t="s">
        <v>152</v>
      </c>
      <c r="B126" s="88" t="str">
        <f>IFERROR(__xludf.DUMMYFUNCTION("""COMPUTED_VALUE"""),"Transporte/gasolina")</f>
        <v>Transporte/gasolina</v>
      </c>
      <c r="C126" s="89">
        <f t="array" ref="C126">IFNA(
  LET(
    colaborador, TRIM(C$1),
    tipo, TRIM($B126),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26" s="89">
        <f t="array" ref="D126">IFNA(
  LET(
    colaborador, TRIM(D$1),
    tipo, TRIM($B126),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26" s="89">
        <f t="array" ref="E126">IFNA(
  LET(
    colaborador, TRIM(E$1),
    tipo, TRIM($B126),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26" s="89">
        <f t="array" ref="F126">IFNA(
  LET(
    colaborador, TRIM(F$1),
    tipo, TRIM($B126),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26" s="89">
        <f t="array" ref="G126">IFNA(
  LET(
    colaborador, TRIM(G$1),
    tipo, TRIM($B126),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26" s="89">
        <f t="array" ref="H126">IFNA(
  LET(
    colaborador, TRIM(H$1),
    tipo, TRIM($B126),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498.3</v>
      </c>
      <c r="I126" s="88">
        <f t="array" ref="I126">IFNA(
  LET(
    colaborador, TRIM(I$1),
    tipo, TRIM($B126),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26" s="88">
        <f t="array" ref="J126">IFNA(
  LET(
    colaborador, TRIM(J$1),
    tipo, TRIM($B126),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26" s="88">
        <f t="array" ref="K126">IFNA(
  LET(
    colaborador, TRIM(K$1),
    tipo, TRIM($B126),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26" s="88">
        <f t="array" ref="L126">IFNA(
  LET(
    colaborador, TRIM(L$1),
    tipo, TRIM($B126),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26" s="88">
        <f t="array" ref="M126">IFNA(
  LET(
    colaborador, TRIM(M$1),
    tipo, TRIM($B126),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26" s="88">
        <f t="array" ref="N126">IFNA(
  LET(
    colaborador, TRIM(N$1),
    tipo, TRIM($B126),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26" s="88">
        <f t="array" ref="O126">IFNA(
  LET(
    colaborador, TRIM(O$1),
    tipo, TRIM($B126),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27">
      <c r="A127" s="90" t="s">
        <v>152</v>
      </c>
      <c r="B127" s="88" t="str">
        <f>IFERROR(__xludf.DUMMYFUNCTION("""COMPUTED_VALUE"""),"Crédito no Chip")</f>
        <v>Crédito no Chip</v>
      </c>
      <c r="C127" s="89">
        <f t="array" ref="C127">IFNA(
  LET(
    colaborador, TRIM(C$1),
    tipo, TRIM($B127),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27" s="89">
        <f t="array" ref="D127">IFNA(
  LET(
    colaborador, TRIM(D$1),
    tipo, TRIM($B127),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27" s="89">
        <f t="array" ref="E127">IFNA(
  LET(
    colaborador, TRIM(E$1),
    tipo, TRIM($B127),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27" s="89">
        <f t="array" ref="F127">IFNA(
  LET(
    colaborador, TRIM(F$1),
    tipo, TRIM($B127),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27" s="89">
        <f t="array" ref="G127">IFNA(
  LET(
    colaborador, TRIM(G$1),
    tipo, TRIM($B127),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27" s="89">
        <f t="array" ref="H127">IFNA(
  LET(
    colaborador, TRIM(H$1),
    tipo, TRIM($B127),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27" s="88">
        <f t="array" ref="I127">IFNA(
  LET(
    colaborador, TRIM(I$1),
    tipo, TRIM($B127),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30</v>
      </c>
      <c r="J127" s="88">
        <f t="array" ref="J127">IFNA(
  LET(
    colaborador, TRIM(J$1),
    tipo, TRIM($B127),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27" s="88">
        <f t="array" ref="K127">IFNA(
  LET(
    colaborador, TRIM(K$1),
    tipo, TRIM($B127),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27" s="88">
        <f t="array" ref="L127">IFNA(
  LET(
    colaborador, TRIM(L$1),
    tipo, TRIM($B127),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27" s="88">
        <f t="array" ref="M127">IFNA(
  LET(
    colaborador, TRIM(M$1),
    tipo, TRIM($B127),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27" s="88">
        <f t="array" ref="N127">IFNA(
  LET(
    colaborador, TRIM(N$1),
    tipo, TRIM($B127),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27" s="88">
        <f t="array" ref="O127">IFNA(
  LET(
    colaborador, TRIM(O$1),
    tipo, TRIM($B127),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28">
      <c r="A128" s="90" t="s">
        <v>152</v>
      </c>
      <c r="B128" s="88" t="str">
        <f>IFERROR(__xludf.DUMMYFUNCTION("""COMPUTED_VALUE"""),"Compra de Ferramentas de Instalação")</f>
        <v>Compra de Ferramentas de Instalação</v>
      </c>
      <c r="C128" s="89">
        <f t="array" ref="C128">IFNA(
  LET(
    colaborador, TRIM(C$1),
    tipo, TRIM($B128),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28" s="89">
        <f t="array" ref="D128">IFNA(
  LET(
    colaborador, TRIM(D$1),
    tipo, TRIM($B128),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28" s="89">
        <f t="array" ref="E128">IFNA(
  LET(
    colaborador, TRIM(E$1),
    tipo, TRIM($B128),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28" s="89">
        <f t="array" ref="F128">IFNA(
  LET(
    colaborador, TRIM(F$1),
    tipo, TRIM($B128),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28" s="89">
        <f t="array" ref="G128">IFNA(
  LET(
    colaborador, TRIM(G$1),
    tipo, TRIM($B128),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28" s="89">
        <f t="array" ref="H128">IFNA(
  LET(
    colaborador, TRIM(H$1),
    tipo, TRIM($B128),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28" s="88" t="str">
        <f t="array" ref="I128">IFNA(
  LET(
    colaborador, TRIM(I$1),
    tipo, TRIM($B128),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/>
      </c>
      <c r="J128" s="88">
        <f t="array" ref="J128">IFNA(
  LET(
    colaborador, TRIM(J$1),
    tipo, TRIM($B128),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28" s="88">
        <f t="array" ref="K128">IFNA(
  LET(
    colaborador, TRIM(K$1),
    tipo, TRIM($B128),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28" s="88">
        <f t="array" ref="L128">IFNA(
  LET(
    colaborador, TRIM(L$1),
    tipo, TRIM($B128),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28" s="88">
        <f t="array" ref="M128">IFNA(
  LET(
    colaborador, TRIM(M$1),
    tipo, TRIM($B128),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28" s="88">
        <f t="array" ref="N128">IFNA(
  LET(
    colaborador, TRIM(N$1),
    tipo, TRIM($B128),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28" s="88">
        <f t="array" ref="O128">IFNA(
  LET(
    colaborador, TRIM(O$1),
    tipo, TRIM($B128),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29">
      <c r="A129" s="90" t="s">
        <v>152</v>
      </c>
      <c r="B129" s="88" t="str">
        <f>IFERROR(__xludf.DUMMYFUNCTION("""COMPUTED_VALUE"""),"Curso Revit 7/12")</f>
        <v>Curso Revit 7/12</v>
      </c>
      <c r="C129" s="89">
        <f t="array" ref="C129">IFNA(
  LET(
    colaborador, TRIM(C$1),
    tipo, TRIM($B129),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29" s="89">
        <f t="array" ref="D129">IFNA(
  LET(
    colaborador, TRIM(D$1),
    tipo, TRIM($B129),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29" s="89">
        <f t="array" ref="E129">IFNA(
  LET(
    colaborador, TRIM(E$1),
    tipo, TRIM($B129),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29" s="89">
        <f t="array" ref="F129">IFNA(
  LET(
    colaborador, TRIM(F$1),
    tipo, TRIM($B129),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29" s="89">
        <f t="array" ref="G129">IFNA(
  LET(
    colaborador, TRIM(G$1),
    tipo, TRIM($B129),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29" s="89">
        <f t="array" ref="H129">IFNA(
  LET(
    colaborador, TRIM(H$1),
    tipo, TRIM($B129),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29" s="88">
        <f t="array" ref="I129">IFNA(
  LET(
    colaborador, TRIM(I$1),
    tipo, TRIM($B129),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29" s="88">
        <f t="array" ref="J129">IFNA(
  LET(
    colaborador, TRIM(J$1),
    tipo, TRIM($B129),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103.11</v>
      </c>
      <c r="K129" s="88">
        <f t="array" ref="K129">IFNA(
  LET(
    colaborador, TRIM(K$1),
    tipo, TRIM($B129),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29" s="88">
        <f t="array" ref="L129">IFNA(
  LET(
    colaborador, TRIM(L$1),
    tipo, TRIM($B129),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29" s="88">
        <f t="array" ref="M129">IFNA(
  LET(
    colaborador, TRIM(M$1),
    tipo, TRIM($B129),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29" s="88">
        <f t="array" ref="N129">IFNA(
  LET(
    colaborador, TRIM(N$1),
    tipo, TRIM($B129),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29" s="88">
        <f t="array" ref="O129">IFNA(
  LET(
    colaborador, TRIM(O$1),
    tipo, TRIM($B129),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30">
      <c r="A130" s="90" t="s">
        <v>152</v>
      </c>
      <c r="B130" s="88" t="str">
        <f>IFERROR(__xludf.DUMMYFUNCTION("""COMPUTED_VALUE"""),"Crédito no Chip bot")</f>
        <v>Crédito no Chip bot</v>
      </c>
      <c r="C130" s="89">
        <f t="array" ref="C130">IFNA(
  LET(
    colaborador, TRIM(C$1),
    tipo, TRIM($B130),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30" s="89">
        <f t="array" ref="D130">IFNA(
  LET(
    colaborador, TRIM(D$1),
    tipo, TRIM($B130),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30" s="89">
        <f t="array" ref="E130">IFNA(
  LET(
    colaborador, TRIM(E$1),
    tipo, TRIM($B130),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30" s="89">
        <f t="array" ref="F130">IFNA(
  LET(
    colaborador, TRIM(F$1),
    tipo, TRIM($B130),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30" s="89">
        <f t="array" ref="G130">IFNA(
  LET(
    colaborador, TRIM(G$1),
    tipo, TRIM($B130),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30" s="89">
        <f t="array" ref="H130">IFNA(
  LET(
    colaborador, TRIM(H$1),
    tipo, TRIM($B130),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30" s="88">
        <f t="array" ref="I130">IFNA(
  LET(
    colaborador, TRIM(I$1),
    tipo, TRIM($B130),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30" s="88">
        <f t="array" ref="J130">IFNA(
  LET(
    colaborador, TRIM(J$1),
    tipo, TRIM($B130),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30" s="88">
        <f t="array" ref="K130">IFNA(
  LET(
    colaborador, TRIM(K$1),
    tipo, TRIM($B130),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60</v>
      </c>
      <c r="L130" s="88">
        <f t="array" ref="L130">IFNA(
  LET(
    colaborador, TRIM(L$1),
    tipo, TRIM($B130),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30" s="88">
        <f t="array" ref="M130">IFNA(
  LET(
    colaborador, TRIM(M$1),
    tipo, TRIM($B130),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30" s="88">
        <f t="array" ref="N130">IFNA(
  LET(
    colaborador, TRIM(N$1),
    tipo, TRIM($B130),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30" s="88">
        <f t="array" ref="O130">IFNA(
  LET(
    colaborador, TRIM(O$1),
    tipo, TRIM($B130),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31">
      <c r="A131" s="90" t="s">
        <v>152</v>
      </c>
      <c r="B131" s="88" t="str">
        <f>IFERROR(__xludf.DUMMYFUNCTION("""COMPUTED_VALUE"""),"gasolina")</f>
        <v>gasolina</v>
      </c>
      <c r="C131" s="89">
        <f t="array" ref="C131">IFNA(
  LET(
    colaborador, TRIM(C$1),
    tipo, TRIM($B131),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31" s="89">
        <f t="array" ref="D131">IFNA(
  LET(
    colaborador, TRIM(D$1),
    tipo, TRIM($B131),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31" s="89">
        <f t="array" ref="E131">IFNA(
  LET(
    colaborador, TRIM(E$1),
    tipo, TRIM($B131),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31" s="89">
        <f t="array" ref="F131">IFNA(
  LET(
    colaborador, TRIM(F$1),
    tipo, TRIM($B131),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31" s="89">
        <f t="array" ref="G131">IFNA(
  LET(
    colaborador, TRIM(G$1),
    tipo, TRIM($B131),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31" s="89">
        <f t="array" ref="H131">IFNA(
  LET(
    colaborador, TRIM(H$1),
    tipo, TRIM($B131),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31" s="88">
        <f t="array" ref="I131">IFNA(
  LET(
    colaborador, TRIM(I$1),
    tipo, TRIM($B131),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31" s="88">
        <f t="array" ref="J131">IFNA(
  LET(
    colaborador, TRIM(J$1),
    tipo, TRIM($B131),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31" s="88">
        <f t="array" ref="K131">IFNA(
  LET(
    colaborador, TRIM(K$1),
    tipo, TRIM($B131),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31" s="88" t="str">
        <f t="array" ref="L131">IFNA(
  LET(
    colaborador, TRIM(L$1),
    tipo, TRIM($B131),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/>
      </c>
      <c r="M131" s="88">
        <f t="array" ref="M131">IFNA(
  LET(
    colaborador, TRIM(M$1),
    tipo, TRIM($B131),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31" s="88">
        <f t="array" ref="N131">IFNA(
  LET(
    colaborador, TRIM(N$1),
    tipo, TRIM($B131),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31" s="88">
        <f t="array" ref="O131">IFNA(
  LET(
    colaborador, TRIM(O$1),
    tipo, TRIM($B131),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32">
      <c r="A132" s="90" t="s">
        <v>152</v>
      </c>
      <c r="B132" s="88" t="str">
        <f>IFERROR(__xludf.DUMMYFUNCTION("""COMPUTED_VALUE"""),"Compras de Material leparc")</f>
        <v>Compras de Material leparc</v>
      </c>
      <c r="C132" s="89">
        <f t="array" ref="C132">IFNA(
  LET(
    colaborador, TRIM(C$1),
    tipo, TRIM($B132),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32" s="89">
        <f t="array" ref="D132">IFNA(
  LET(
    colaborador, TRIM(D$1),
    tipo, TRIM($B132),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32" s="89">
        <f t="array" ref="E132">IFNA(
  LET(
    colaborador, TRIM(E$1),
    tipo, TRIM($B132),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32" s="89">
        <f t="array" ref="F132">IFNA(
  LET(
    colaborador, TRIM(F$1),
    tipo, TRIM($B132),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32" s="89">
        <f t="array" ref="G132">IFNA(
  LET(
    colaborador, TRIM(G$1),
    tipo, TRIM($B132),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32" s="89">
        <f t="array" ref="H132">IFNA(
  LET(
    colaborador, TRIM(H$1),
    tipo, TRIM($B132),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32" s="88">
        <f t="array" ref="I132">IFNA(
  LET(
    colaborador, TRIM(I$1),
    tipo, TRIM($B132),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32" s="88">
        <f t="array" ref="J132">IFNA(
  LET(
    colaborador, TRIM(J$1),
    tipo, TRIM($B132),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32" s="88">
        <f t="array" ref="K132">IFNA(
  LET(
    colaborador, TRIM(K$1),
    tipo, TRIM($B132),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32" s="88" t="str">
        <f t="array" ref="L132">IFNA(
  LET(
    colaborador, TRIM(L$1),
    tipo, TRIM($B132),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/>
      </c>
      <c r="M132" s="88">
        <f t="array" ref="M132">IFNA(
  LET(
    colaborador, TRIM(M$1),
    tipo, TRIM($B132),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32" s="88">
        <f t="array" ref="N132">IFNA(
  LET(
    colaborador, TRIM(N$1),
    tipo, TRIM($B132),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32" s="88">
        <f t="array" ref="O132">IFNA(
  LET(
    colaborador, TRIM(O$1),
    tipo, TRIM($B132),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33">
      <c r="A133" s="90" t="s">
        <v>152</v>
      </c>
      <c r="B133" s="88" t="str">
        <f>IFERROR(__xludf.DUMMYFUNCTION("""COMPUTED_VALUE"""),"almoço")</f>
        <v>almoço</v>
      </c>
      <c r="C133" s="89">
        <f t="array" ref="C133">IFNA(
  LET(
    colaborador, TRIM(C$1),
    tipo, TRIM($B133),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33" s="89">
        <f t="array" ref="D133">IFNA(
  LET(
    colaborador, TRIM(D$1),
    tipo, TRIM($B133),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33" s="89">
        <f t="array" ref="E133">IFNA(
  LET(
    colaborador, TRIM(E$1),
    tipo, TRIM($B133),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33" s="89">
        <f t="array" ref="F133">IFNA(
  LET(
    colaborador, TRIM(F$1),
    tipo, TRIM($B133),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33" s="89">
        <f t="array" ref="G133">IFNA(
  LET(
    colaborador, TRIM(G$1),
    tipo, TRIM($B133),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33" s="89">
        <f t="array" ref="H133">IFNA(
  LET(
    colaborador, TRIM(H$1),
    tipo, TRIM($B133),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33" s="88">
        <f t="array" ref="I133">IFNA(
  LET(
    colaborador, TRIM(I$1),
    tipo, TRIM($B133),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33" s="88">
        <f t="array" ref="J133">IFNA(
  LET(
    colaborador, TRIM(J$1),
    tipo, TRIM($B133),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33" s="88">
        <f t="array" ref="K133">IFNA(
  LET(
    colaborador, TRIM(K$1),
    tipo, TRIM($B133),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33" s="88" t="str">
        <f t="array" ref="L133">IFNA(
  LET(
    colaborador, TRIM(L$1),
    tipo, TRIM($B133),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/>
      </c>
      <c r="M133" s="88">
        <f t="array" ref="M133">IFNA(
  LET(
    colaborador, TRIM(M$1),
    tipo, TRIM($B133),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33" s="88">
        <f t="array" ref="N133">IFNA(
  LET(
    colaborador, TRIM(N$1),
    tipo, TRIM($B133),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33" s="88">
        <f t="array" ref="O133">IFNA(
  LET(
    colaborador, TRIM(O$1),
    tipo, TRIM($B133),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34">
      <c r="A134" s="90" t="s">
        <v>152</v>
      </c>
      <c r="B134" s="88" t="str">
        <f>IFERROR(__xludf.DUMMYFUNCTION("""COMPUTED_VALUE"""),"Hospedagem")</f>
        <v>Hospedagem</v>
      </c>
      <c r="C134" s="89">
        <f t="array" ref="C134">IFNA(
  LET(
    colaborador, TRIM(C$1),
    tipo, TRIM($B134),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34" s="89">
        <f t="array" ref="D134">IFNA(
  LET(
    colaborador, TRIM(D$1),
    tipo, TRIM($B134),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34" s="89">
        <f t="array" ref="E134">IFNA(
  LET(
    colaborador, TRIM(E$1),
    tipo, TRIM($B134),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34" s="89">
        <f t="array" ref="F134">IFNA(
  LET(
    colaborador, TRIM(F$1),
    tipo, TRIM($B134),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34" s="89">
        <f t="array" ref="G134">IFNA(
  LET(
    colaborador, TRIM(G$1),
    tipo, TRIM($B134),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34" s="89">
        <f t="array" ref="H134">IFNA(
  LET(
    colaborador, TRIM(H$1),
    tipo, TRIM($B134),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34" s="88">
        <f t="array" ref="I134">IFNA(
  LET(
    colaborador, TRIM(I$1),
    tipo, TRIM($B134),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34" s="88">
        <f t="array" ref="J134">IFNA(
  LET(
    colaborador, TRIM(J$1),
    tipo, TRIM($B134),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34" s="88">
        <f t="array" ref="K134">IFNA(
  LET(
    colaborador, TRIM(K$1),
    tipo, TRIM($B134),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34" s="88">
        <f t="array" ref="L134">IFNA(
  LET(
    colaborador, TRIM(L$1),
    tipo, TRIM($B134),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34" s="88">
        <f t="array" ref="M134">IFNA(
  LET(
    colaborador, TRIM(M$1),
    tipo, TRIM($B134),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34" s="88">
        <f t="array" ref="N134">IFNA(
  LET(
    colaborador, TRIM(N$1),
    tipo, TRIM($B134),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34" s="88">
        <f t="array" ref="O134">IFNA(
  LET(
    colaborador, TRIM(O$1),
    tipo, TRIM($B134),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35">
      <c r="A135" s="90" t="s">
        <v>152</v>
      </c>
      <c r="B135" s="88" t="str">
        <f>IFERROR(__xludf.DUMMYFUNCTION("""COMPUTED_VALUE"""),"Curso SaaS")</f>
        <v>Curso SaaS</v>
      </c>
      <c r="C135" s="89">
        <f t="array" ref="C135">IFNA(
  LET(
    colaborador, TRIM(C$1),
    tipo, TRIM($B135),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35" s="89">
        <f t="array" ref="D135">IFNA(
  LET(
    colaborador, TRIM(D$1),
    tipo, TRIM($B135),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35" s="89">
        <f t="array" ref="E135">IFNA(
  LET(
    colaborador, TRIM(E$1),
    tipo, TRIM($B135),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35" s="89">
        <f t="array" ref="F135">IFNA(
  LET(
    colaborador, TRIM(F$1),
    tipo, TRIM($B135),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35" s="89">
        <f t="array" ref="G135">IFNA(
  LET(
    colaborador, TRIM(G$1),
    tipo, TRIM($B135),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35" s="89">
        <f t="array" ref="H135">IFNA(
  LET(
    colaborador, TRIM(H$1),
    tipo, TRIM($B135),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35" s="88">
        <f t="array" ref="I135">IFNA(
  LET(
    colaborador, TRIM(I$1),
    tipo, TRIM($B135),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35" s="88">
        <f t="array" ref="J135">IFNA(
  LET(
    colaborador, TRIM(J$1),
    tipo, TRIM($B135),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35" s="88">
        <f t="array" ref="K135">IFNA(
  LET(
    colaborador, TRIM(K$1),
    tipo, TRIM($B135),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35" s="88">
        <f t="array" ref="L135">IFNA(
  LET(
    colaborador, TRIM(L$1),
    tipo, TRIM($B135),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35" s="88">
        <f t="array" ref="M135">IFNA(
  LET(
    colaborador, TRIM(M$1),
    tipo, TRIM($B135),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35" s="88">
        <f t="array" ref="N135">IFNA(
  LET(
    colaborador, TRIM(N$1),
    tipo, TRIM($B135),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O135" s="88">
        <f t="array" ref="O135">IFNA(
  LET(
    colaborador, TRIM(O$1),
    tipo, TRIM($B135),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36">
      <c r="A136" s="90" t="s">
        <v>152</v>
      </c>
      <c r="B136" s="88"/>
      <c r="C136" s="89" t="str">
        <f t="array" ref="C136">IFNA(
  LET(
    colaborador, TRIM(C$1),
    tipo, TRIM($B136),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/>
      </c>
      <c r="D136" s="89">
        <f t="array" ref="D136">IFNA(
  LET(
    colaborador, TRIM(D$1),
    tipo, TRIM($B136),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36" s="89">
        <f t="array" ref="E136">IFNA(
  LET(
    colaborador, TRIM(E$1),
    tipo, TRIM($B136),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36" s="89">
        <f t="array" ref="F136">IFNA(
  LET(
    colaborador, TRIM(F$1),
    tipo, TRIM($B136),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36" s="89" t="str">
        <f t="array" ref="G136">IFNA(
  LET(
    colaborador, TRIM(G$1),
    tipo, TRIM($B136),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/>
      </c>
      <c r="H136" s="89" t="str">
        <f t="array" ref="H136">IFNA(
  LET(
    colaborador, TRIM(H$1),
    tipo, TRIM($B136),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/>
      </c>
      <c r="I136" s="88" t="str">
        <f t="array" ref="I136">IFNA(
  LET(
    colaborador, TRIM(I$1),
    tipo, TRIM($B136),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/>
      </c>
      <c r="J136" s="88" t="str">
        <f t="array" ref="J136">IFNA(
  LET(
    colaborador, TRIM(J$1),
    tipo, TRIM($B136),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/>
      </c>
      <c r="K136" s="88" t="str">
        <f t="array" ref="K136">IFNA(
  LET(
    colaborador, TRIM(K$1),
    tipo, TRIM($B136),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/>
      </c>
      <c r="L136" s="88" t="str">
        <f t="array" ref="L136">IFNA(
  LET(
    colaborador, TRIM(L$1),
    tipo, TRIM($B136),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/>
      </c>
      <c r="M136" s="88" t="str">
        <f t="array" ref="M136">IFNA(
  LET(
    colaborador, TRIM(M$1),
    tipo, TRIM($B136),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/>
      </c>
      <c r="N136" s="88" t="str">
        <f t="array" ref="N136">IFNA(
  LET(
    colaborador, TRIM(N$1),
    tipo, TRIM($B136),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/>
      </c>
      <c r="O136" s="88">
        <f t="array" ref="O136">IFNA(
  LET(
    colaborador, TRIM(O$1),
    tipo, TRIM($B136),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37">
      <c r="A137" s="91" t="s">
        <v>152</v>
      </c>
      <c r="B137" s="92" t="s">
        <v>150</v>
      </c>
      <c r="C137" s="93">
        <f t="shared" ref="C137:O137" si="4">SUM(C105:C136)</f>
        <v>1231.42</v>
      </c>
      <c r="D137" s="93">
        <f t="shared" si="4"/>
        <v>866.11</v>
      </c>
      <c r="E137" s="93">
        <f t="shared" si="4"/>
        <v>932.51</v>
      </c>
      <c r="F137" s="93">
        <f t="shared" si="4"/>
        <v>1046.35</v>
      </c>
      <c r="G137" s="93">
        <f t="shared" si="4"/>
        <v>529.7</v>
      </c>
      <c r="H137" s="93">
        <f t="shared" si="4"/>
        <v>498.3</v>
      </c>
      <c r="I137" s="93">
        <f t="shared" si="4"/>
        <v>30</v>
      </c>
      <c r="J137" s="93">
        <f t="shared" si="4"/>
        <v>103.11</v>
      </c>
      <c r="K137" s="93">
        <f t="shared" si="4"/>
        <v>144.06</v>
      </c>
      <c r="L137" s="93">
        <f t="shared" si="4"/>
        <v>204.24</v>
      </c>
      <c r="M137" s="93">
        <f t="shared" si="4"/>
        <v>109.31</v>
      </c>
      <c r="N137" s="93">
        <f t="shared" si="4"/>
        <v>143.2</v>
      </c>
      <c r="O137" s="93">
        <f t="shared" si="4"/>
        <v>0</v>
      </c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5"/>
  </cols>
  <sheetData>
    <row r="1">
      <c r="A1" s="86" t="s">
        <v>145</v>
      </c>
      <c r="B1" s="86" t="s">
        <v>146</v>
      </c>
      <c r="C1" s="86" t="s">
        <v>0</v>
      </c>
      <c r="D1" s="86" t="s">
        <v>147</v>
      </c>
      <c r="E1" s="86" t="s">
        <v>31</v>
      </c>
      <c r="F1" s="86" t="s">
        <v>40</v>
      </c>
      <c r="G1" s="86" t="s">
        <v>60</v>
      </c>
      <c r="H1" s="87" t="s">
        <v>72</v>
      </c>
      <c r="I1" s="86" t="s">
        <v>1</v>
      </c>
      <c r="J1" s="86" t="s">
        <v>19</v>
      </c>
      <c r="K1" s="86" t="s">
        <v>32</v>
      </c>
      <c r="L1" s="86" t="s">
        <v>45</v>
      </c>
      <c r="M1" s="86" t="s">
        <v>61</v>
      </c>
      <c r="N1" s="86" t="s">
        <v>73</v>
      </c>
    </row>
    <row r="2">
      <c r="A2" s="90" t="s">
        <v>149</v>
      </c>
      <c r="B2" s="88" t="str">
        <f>IFERROR(__xludf.DUMMYFUNCTION("UNIQUE(
  VSTACK(
    FILTER(
      Janeiro26!B1:B988,
      Janeiro26!B1:B988&lt;&gt;"""",
      SCAN(
        0,
        Janeiro26!B1:B988,
        LAMBDA(acc,x, acc + N(LOWER(TRIM(x))=""tipo"") - N(LOWER(TRIM(x))=""total""))
      )&gt;0,
      LOWER(TRIM(Janei"&amp;"ro26!B1:B988))&lt;&gt;""tipo""
    ),
    FILTER(
      Janeiro26!F1:F988,
      Janeiro26!F1:F988&lt;&gt;"""",
      SCAN(
        0,
        Janeiro26!F1:F988,
        LAMBDA(acc,x, acc + N(LOWER(TRIM(x))=""tipo"") - N(LOWER(TRIM(x))=""total""))
      )&gt;0,
      LO"&amp;"WER(TRIM(Janeiro26!F1:F988))&lt;&gt;""tipo""
    )
  )
)"),"#REF!")</f>
        <v>#REF!</v>
      </c>
      <c r="C2" s="89">
        <f t="array" ref="C2">IFNA(
  LET(
    colaborador, TRIM(C$1),
    tipo, TRIM($B2),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D2" s="89">
        <f t="array" ref="D2">IFNA(
  LET(
    colaborador, TRIM(D$1),
    tipo, TRIM($B2),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2" s="89">
        <f t="array" ref="E2">IFNA(
  LET(
    colaborador, TRIM(E$1),
    tipo, TRIM($B2),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2" s="89">
        <f t="array" ref="F2">IFNA(
  LET(
    colaborador, TRIM(F$1),
    tipo, TRIM($B2),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G2" s="88">
        <f t="array" ref="G2">IFNA(
  LET(
    colaborador, TRIM(G$1),
    tipo, TRIM($B2),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H2" s="88">
        <f t="array" ref="H2">IFNA(
  LET(
    colaborador, TRIM(H$1),
    tipo, TRIM($B2),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I2" s="88">
        <f t="array" ref="I2">IFNA(
  LET(
    colaborador, TRIM(I$1),
    tipo, TRIM($B2),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  <c r="J2" s="89">
        <f t="array" ref="J2">IFNA(
  LET(
    colaborador, TRIM(J$1),
    tipo, TRIM($B2),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  <c r="K2" s="89">
        <f t="array" ref="K2">IFNA(
  LET(
    colaborador, TRIM(K$1),
    tipo, TRIM($B2),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  <c r="L2" s="89">
        <f t="array" ref="L2">IFNA(
  LET(
    colaborador, TRIM(L$1),
    tipo, TRIM($B2),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  <c r="M2" s="89">
        <f t="array" ref="M2">IFNA(
  LET(
    colaborador, TRIM(M$1),
    tipo, TRIM($B2),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  <c r="N2" s="88">
        <f t="array" ref="N2">IFNA(
  LET(
    colaborador, TRIM(N$1),
    tipo, TRIM($B2),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3">
      <c r="A3" s="90" t="s">
        <v>149</v>
      </c>
      <c r="B3" s="88"/>
      <c r="C3" s="89" t="str">
        <f t="array" ref="C3">IFNA(
  LET(
    colaborador, TRIM(C$1),
    tipo, TRIM($B3),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3" s="88">
        <f t="array" ref="D3">IFNA(
  LET(
    colaborador, TRIM(D$1),
    tipo, TRIM($B3),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3" s="89">
        <f t="array" ref="E3">IFNA(
  LET(
    colaborador, TRIM(E$1),
    tipo, TRIM($B3),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3" s="89" t="str">
        <f t="array" ref="F3">IFNA(
  LET(
    colaborador, TRIM(F$1),
    tipo, TRIM($B3),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3" s="88" t="str">
        <f t="array" ref="G3">IFNA(
  LET(
    colaborador, TRIM(G$1),
    tipo, TRIM($B3),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3" s="88" t="str">
        <f t="array" ref="H3">IFNA(
  LET(
    colaborador, TRIM(H$1),
    tipo, TRIM($B3),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3" s="88" t="str">
        <f t="array" ref="I3">IFNA(
  LET(
    colaborador, TRIM(I$1),
    tipo, TRIM($B3),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3" s="89" t="str">
        <f t="array" ref="J3">IFNA(
  LET(
    colaborador, TRIM(J$1),
    tipo, TRIM($B3),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3" s="88" t="str">
        <f t="array" ref="K3">IFNA(
  LET(
    colaborador, TRIM(K$1),
    tipo, TRIM($B3),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3" s="89" t="str">
        <f t="array" ref="L3">IFNA(
  LET(
    colaborador, TRIM(L$1),
    tipo, TRIM($B3),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3" s="89" t="str">
        <f t="array" ref="M3">IFNA(
  LET(
    colaborador, TRIM(M$1),
    tipo, TRIM($B3),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3" s="88" t="str">
        <f t="array" ref="N3">IFNA(
  LET(
    colaborador, TRIM(N$1),
    tipo, TRIM($B3),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4">
      <c r="A4" s="90" t="s">
        <v>149</v>
      </c>
      <c r="B4" s="88"/>
      <c r="C4" s="89" t="str">
        <f t="array" ref="C4">IFNA(
  LET(
    colaborador, TRIM(C$1),
    tipo, TRIM($B4),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4" s="89">
        <f t="array" ref="D4">IFNA(
  LET(
    colaborador, TRIM(D$1),
    tipo, TRIM($B4),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4" s="89">
        <f t="array" ref="E4">IFNA(
  LET(
    colaborador, TRIM(E$1),
    tipo, TRIM($B4),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4" s="89" t="str">
        <f t="array" ref="F4">IFNA(
  LET(
    colaborador, TRIM(F$1),
    tipo, TRIM($B4),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4" s="89" t="str">
        <f t="array" ref="G4">IFNA(
  LET(
    colaborador, TRIM(G$1),
    tipo, TRIM($B4),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4" s="88" t="str">
        <f t="array" ref="H4">IFNA(
  LET(
    colaborador, TRIM(H$1),
    tipo, TRIM($B4),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4" s="89" t="str">
        <f t="array" ref="I4">IFNA(
  LET(
    colaborador, TRIM(I$1),
    tipo, TRIM($B4),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4" s="89" t="str">
        <f t="array" ref="J4">IFNA(
  LET(
    colaborador, TRIM(J$1),
    tipo, TRIM($B4),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4" s="89" t="str">
        <f t="array" ref="K4">IFNA(
  LET(
    colaborador, TRIM(K$1),
    tipo, TRIM($B4),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4" s="89" t="str">
        <f t="array" ref="L4">IFNA(
  LET(
    colaborador, TRIM(L$1),
    tipo, TRIM($B4),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4" s="89" t="str">
        <f t="array" ref="M4">IFNA(
  LET(
    colaborador, TRIM(M$1),
    tipo, TRIM($B4),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4" s="89" t="str">
        <f t="array" ref="N4">IFNA(
  LET(
    colaborador, TRIM(N$1),
    tipo, TRIM($B4),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5">
      <c r="A5" s="90" t="s">
        <v>149</v>
      </c>
      <c r="B5" s="88"/>
      <c r="C5" s="89" t="str">
        <f t="array" ref="C5">IFNA(
  LET(
    colaborador, TRIM(C$1),
    tipo, TRIM($B5),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5" s="89">
        <f t="array" ref="D5">IFNA(
  LET(
    colaborador, TRIM(D$1),
    tipo, TRIM($B5),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5" s="89">
        <f t="array" ref="E5">IFNA(
  LET(
    colaborador, TRIM(E$1),
    tipo, TRIM($B5),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5" s="89" t="str">
        <f t="array" ref="F5">IFNA(
  LET(
    colaborador, TRIM(F$1),
    tipo, TRIM($B5),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5" s="89" t="str">
        <f t="array" ref="G5">IFNA(
  LET(
    colaborador, TRIM(G$1),
    tipo, TRIM($B5),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5" s="88" t="str">
        <f t="array" ref="H5">IFNA(
  LET(
    colaborador, TRIM(H$1),
    tipo, TRIM($B5),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5" s="89" t="str">
        <f t="array" ref="I5">IFNA(
  LET(
    colaborador, TRIM(I$1),
    tipo, TRIM($B5),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5" s="89" t="str">
        <f t="array" ref="J5">IFNA(
  LET(
    colaborador, TRIM(J$1),
    tipo, TRIM($B5),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5" s="89" t="str">
        <f t="array" ref="K5">IFNA(
  LET(
    colaborador, TRIM(K$1),
    tipo, TRIM($B5),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5" s="89" t="str">
        <f t="array" ref="L5">IFNA(
  LET(
    colaborador, TRIM(L$1),
    tipo, TRIM($B5),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5" s="89" t="str">
        <f t="array" ref="M5">IFNA(
  LET(
    colaborador, TRIM(M$1),
    tipo, TRIM($B5),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5" s="89" t="str">
        <f t="array" ref="N5">IFNA(
  LET(
    colaborador, TRIM(N$1),
    tipo, TRIM($B5),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6">
      <c r="A6" s="90" t="s">
        <v>149</v>
      </c>
      <c r="B6" s="88"/>
      <c r="C6" s="89" t="str">
        <f t="array" ref="C6">IFNA(
  LET(
    colaborador, TRIM(C$1),
    tipo, TRIM($B6),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6" s="89">
        <f t="array" ref="D6">IFNA(
  LET(
    colaborador, TRIM(D$1),
    tipo, TRIM($B6),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6" s="89">
        <f t="array" ref="E6">IFNA(
  LET(
    colaborador, TRIM(E$1),
    tipo, TRIM($B6),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6" s="88" t="str">
        <f t="array" ref="F6">IFNA(
  LET(
    colaborador, TRIM(F$1),
    tipo, TRIM($B6),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6" s="89" t="str">
        <f t="array" ref="G6">IFNA(
  LET(
    colaborador, TRIM(G$1),
    tipo, TRIM($B6),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6" s="88" t="str">
        <f t="array" ref="H6">IFNA(
  LET(
    colaborador, TRIM(H$1),
    tipo, TRIM($B6),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6" s="89" t="str">
        <f t="array" ref="I6">IFNA(
  LET(
    colaborador, TRIM(I$1),
    tipo, TRIM($B6),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6" s="89" t="str">
        <f t="array" ref="J6">IFNA(
  LET(
    colaborador, TRIM(J$1),
    tipo, TRIM($B6),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6" s="89" t="str">
        <f t="array" ref="K6">IFNA(
  LET(
    colaborador, TRIM(K$1),
    tipo, TRIM($B6),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6" s="89" t="str">
        <f t="array" ref="L6">IFNA(
  LET(
    colaborador, TRIM(L$1),
    tipo, TRIM($B6),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6" s="89" t="str">
        <f t="array" ref="M6">IFNA(
  LET(
    colaborador, TRIM(M$1),
    tipo, TRIM($B6),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6" s="89" t="str">
        <f t="array" ref="N6">IFNA(
  LET(
    colaborador, TRIM(N$1),
    tipo, TRIM($B6),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7">
      <c r="A7" s="90" t="s">
        <v>149</v>
      </c>
      <c r="B7" s="88"/>
      <c r="C7" s="89" t="str">
        <f t="array" ref="C7">IFNA(
  LET(
    colaborador, TRIM(C$1),
    tipo, TRIM($B7),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7" s="89">
        <f t="array" ref="D7">IFNA(
  LET(
    colaborador, TRIM(D$1),
    tipo, TRIM($B7),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7" s="89">
        <f t="array" ref="E7">IFNA(
  LET(
    colaborador, TRIM(E$1),
    tipo, TRIM($B7),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7" s="89" t="str">
        <f t="array" ref="F7">IFNA(
  LET(
    colaborador, TRIM(F$1),
    tipo, TRIM($B7),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7" s="89" t="str">
        <f t="array" ref="G7">IFNA(
  LET(
    colaborador, TRIM(G$1),
    tipo, TRIM($B7),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7" s="88" t="str">
        <f t="array" ref="H7">IFNA(
  LET(
    colaborador, TRIM(H$1),
    tipo, TRIM($B7),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7" s="89" t="str">
        <f t="array" ref="I7">IFNA(
  LET(
    colaborador, TRIM(I$1),
    tipo, TRIM($B7),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7" s="89" t="str">
        <f t="array" ref="J7">IFNA(
  LET(
    colaborador, TRIM(J$1),
    tipo, TRIM($B7),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7" s="89" t="str">
        <f t="array" ref="K7">IFNA(
  LET(
    colaborador, TRIM(K$1),
    tipo, TRIM($B7),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7" s="89" t="str">
        <f t="array" ref="L7">IFNA(
  LET(
    colaborador, TRIM(L$1),
    tipo, TRIM($B7),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7" s="89" t="str">
        <f t="array" ref="M7">IFNA(
  LET(
    colaborador, TRIM(M$1),
    tipo, TRIM($B7),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7" s="89" t="str">
        <f t="array" ref="N7">IFNA(
  LET(
    colaborador, TRIM(N$1),
    tipo, TRIM($B7),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8">
      <c r="A8" s="90" t="s">
        <v>149</v>
      </c>
      <c r="B8" s="88"/>
      <c r="C8" s="89" t="str">
        <f t="array" ref="C8">IFNA(
  LET(
    colaborador, TRIM(C$1),
    tipo, TRIM($B8),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8" s="89">
        <f t="array" ref="D8">IFNA(
  LET(
    colaborador, TRIM(D$1),
    tipo, TRIM($B8),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8" s="89">
        <f t="array" ref="E8">IFNA(
  LET(
    colaborador, TRIM(E$1),
    tipo, TRIM($B8),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8" s="89" t="str">
        <f t="array" ref="F8">IFNA(
  LET(
    colaborador, TRIM(F$1),
    tipo, TRIM($B8),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8" s="89" t="str">
        <f t="array" ref="G8">IFNA(
  LET(
    colaborador, TRIM(G$1),
    tipo, TRIM($B8),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8" s="88" t="str">
        <f t="array" ref="H8">IFNA(
  LET(
    colaborador, TRIM(H$1),
    tipo, TRIM($B8),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8" s="89" t="str">
        <f t="array" ref="I8">IFNA(
  LET(
    colaborador, TRIM(I$1),
    tipo, TRIM($B8),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8" s="89" t="str">
        <f t="array" ref="J8">IFNA(
  LET(
    colaborador, TRIM(J$1),
    tipo, TRIM($B8),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8" s="89" t="str">
        <f t="array" ref="K8">IFNA(
  LET(
    colaborador, TRIM(K$1),
    tipo, TRIM($B8),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8" s="89" t="str">
        <f t="array" ref="L8">IFNA(
  LET(
    colaborador, TRIM(L$1),
    tipo, TRIM($B8),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8" s="89" t="str">
        <f t="array" ref="M8">IFNA(
  LET(
    colaborador, TRIM(M$1),
    tipo, TRIM($B8),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8" s="89" t="str">
        <f t="array" ref="N8">IFNA(
  LET(
    colaborador, TRIM(N$1),
    tipo, TRIM($B8),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9">
      <c r="A9" s="90" t="s">
        <v>149</v>
      </c>
      <c r="B9" s="88"/>
      <c r="C9" s="89" t="str">
        <f t="array" ref="C9">IFNA(
  LET(
    colaborador, TRIM(C$1),
    tipo, TRIM($B9),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9" s="89">
        <f t="array" ref="D9">IFNA(
  LET(
    colaborador, TRIM(D$1),
    tipo, TRIM($B9),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9" s="89">
        <f t="array" ref="E9">IFNA(
  LET(
    colaborador, TRIM(E$1),
    tipo, TRIM($B9),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9" s="89" t="str">
        <f t="array" ref="F9">IFNA(
  LET(
    colaborador, TRIM(F$1),
    tipo, TRIM($B9),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9" s="89" t="str">
        <f t="array" ref="G9">IFNA(
  LET(
    colaborador, TRIM(G$1),
    tipo, TRIM($B9),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9" s="88" t="str">
        <f t="array" ref="H9">IFNA(
  LET(
    colaborador, TRIM(H$1),
    tipo, TRIM($B9),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9" s="89" t="str">
        <f t="array" ref="I9">IFNA(
  LET(
    colaborador, TRIM(I$1),
    tipo, TRIM($B9),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9" s="89" t="str">
        <f t="array" ref="J9">IFNA(
  LET(
    colaborador, TRIM(J$1),
    tipo, TRIM($B9),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9" s="89" t="str">
        <f t="array" ref="K9">IFNA(
  LET(
    colaborador, TRIM(K$1),
    tipo, TRIM($B9),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9" s="89" t="str">
        <f t="array" ref="L9">IFNA(
  LET(
    colaborador, TRIM(L$1),
    tipo, TRIM($B9),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9" s="89" t="str">
        <f t="array" ref="M9">IFNA(
  LET(
    colaborador, TRIM(M$1),
    tipo, TRIM($B9),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9" s="89" t="str">
        <f t="array" ref="N9">IFNA(
  LET(
    colaborador, TRIM(N$1),
    tipo, TRIM($B9),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10">
      <c r="A10" s="90" t="s">
        <v>149</v>
      </c>
      <c r="B10" s="88"/>
      <c r="C10" s="89" t="str">
        <f t="array" ref="C10">IFNA(
  LET(
    colaborador, TRIM(C$1),
    tipo, TRIM($B10),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10" s="89">
        <f t="array" ref="D10">IFNA(
  LET(
    colaborador, TRIM(D$1),
    tipo, TRIM($B10),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10" s="88">
        <f t="array" ref="E10">IFNA(
  LET(
    colaborador, TRIM(E$1),
    tipo, TRIM($B10),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10" s="89" t="str">
        <f t="array" ref="F10">IFNA(
  LET(
    colaborador, TRIM(F$1),
    tipo, TRIM($B10),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10" s="89" t="str">
        <f t="array" ref="G10">IFNA(
  LET(
    colaborador, TRIM(G$1),
    tipo, TRIM($B10),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10" s="88" t="str">
        <f t="array" ref="H10">IFNA(
  LET(
    colaborador, TRIM(H$1),
    tipo, TRIM($B10),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10" s="89" t="str">
        <f t="array" ref="I10">IFNA(
  LET(
    colaborador, TRIM(I$1),
    tipo, TRIM($B10),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10" s="89" t="str">
        <f t="array" ref="J10">IFNA(
  LET(
    colaborador, TRIM(J$1),
    tipo, TRIM($B10),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10" s="89" t="str">
        <f t="array" ref="K10">IFNA(
  LET(
    colaborador, TRIM(K$1),
    tipo, TRIM($B10),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10" s="89" t="str">
        <f t="array" ref="L10">IFNA(
  LET(
    colaborador, TRIM(L$1),
    tipo, TRIM($B10),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10" s="89" t="str">
        <f t="array" ref="M10">IFNA(
  LET(
    colaborador, TRIM(M$1),
    tipo, TRIM($B10),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10" s="89" t="str">
        <f t="array" ref="N10">IFNA(
  LET(
    colaborador, TRIM(N$1),
    tipo, TRIM($B10),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11">
      <c r="A11" s="90" t="s">
        <v>149</v>
      </c>
      <c r="B11" s="88"/>
      <c r="C11" s="89" t="str">
        <f t="array" ref="C11">IFNA(
  LET(
    colaborador, TRIM(C$1),
    tipo, TRIM($B11),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11" s="89">
        <f t="array" ref="D11">IFNA(
  LET(
    colaborador, TRIM(D$1),
    tipo, TRIM($B11),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11" s="89">
        <f t="array" ref="E11">IFNA(
  LET(
    colaborador, TRIM(E$1),
    tipo, TRIM($B11),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11" s="89" t="str">
        <f t="array" ref="F11">IFNA(
  LET(
    colaborador, TRIM(F$1),
    tipo, TRIM($B11),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11" s="89" t="str">
        <f t="array" ref="G11">IFNA(
  LET(
    colaborador, TRIM(G$1),
    tipo, TRIM($B11),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11" s="88" t="str">
        <f t="array" ref="H11">IFNA(
  LET(
    colaborador, TRIM(H$1),
    tipo, TRIM($B11),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11" s="89" t="str">
        <f t="array" ref="I11">IFNA(
  LET(
    colaborador, TRIM(I$1),
    tipo, TRIM($B11),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11" s="89" t="str">
        <f t="array" ref="J11">IFNA(
  LET(
    colaborador, TRIM(J$1),
    tipo, TRIM($B11),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11" s="89" t="str">
        <f t="array" ref="K11">IFNA(
  LET(
    colaborador, TRIM(K$1),
    tipo, TRIM($B11),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11" s="89" t="str">
        <f t="array" ref="L11">IFNA(
  LET(
    colaborador, TRIM(L$1),
    tipo, TRIM($B11),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11" s="89" t="str">
        <f t="array" ref="M11">IFNA(
  LET(
    colaborador, TRIM(M$1),
    tipo, TRIM($B11),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11" s="89" t="str">
        <f t="array" ref="N11">IFNA(
  LET(
    colaborador, TRIM(N$1),
    tipo, TRIM($B11),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12">
      <c r="A12" s="90" t="s">
        <v>149</v>
      </c>
      <c r="B12" s="88"/>
      <c r="C12" s="89" t="str">
        <f t="array" ref="C12">IFNA(
  LET(
    colaborador, TRIM(C$1),
    tipo, TRIM($B12),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12" s="89">
        <f t="array" ref="D12">IFNA(
  LET(
    colaborador, TRIM(D$1),
    tipo, TRIM($B12),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12" s="88">
        <f t="array" ref="E12">IFNA(
  LET(
    colaborador, TRIM(E$1),
    tipo, TRIM($B12),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12" s="89" t="str">
        <f t="array" ref="F12">IFNA(
  LET(
    colaborador, TRIM(F$1),
    tipo, TRIM($B12),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12" s="89" t="str">
        <f t="array" ref="G12">IFNA(
  LET(
    colaborador, TRIM(G$1),
    tipo, TRIM($B12),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12" s="88" t="str">
        <f t="array" ref="H12">IFNA(
  LET(
    colaborador, TRIM(H$1),
    tipo, TRIM($B12),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12" s="89" t="str">
        <f t="array" ref="I12">IFNA(
  LET(
    colaborador, TRIM(I$1),
    tipo, TRIM($B12),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12" s="89" t="str">
        <f t="array" ref="J12">IFNA(
  LET(
    colaborador, TRIM(J$1),
    tipo, TRIM($B12),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12" s="89" t="str">
        <f t="array" ref="K12">IFNA(
  LET(
    colaborador, TRIM(K$1),
    tipo, TRIM($B12),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12" s="89" t="str">
        <f t="array" ref="L12">IFNA(
  LET(
    colaborador, TRIM(L$1),
    tipo, TRIM($B12),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12" s="89" t="str">
        <f t="array" ref="M12">IFNA(
  LET(
    colaborador, TRIM(M$1),
    tipo, TRIM($B12),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12" s="89" t="str">
        <f t="array" ref="N12">IFNA(
  LET(
    colaborador, TRIM(N$1),
    tipo, TRIM($B12),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13">
      <c r="A13" s="90" t="s">
        <v>149</v>
      </c>
      <c r="B13" s="88"/>
      <c r="C13" s="89" t="str">
        <f t="array" ref="C13">IFNA(
  LET(
    colaborador, TRIM(C$1),
    tipo, TRIM($B13),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13" s="89">
        <f t="array" ref="D13">IFNA(
  LET(
    colaborador, TRIM(D$1),
    tipo, TRIM($B13),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13" s="89">
        <f t="array" ref="E13">IFNA(
  LET(
    colaborador, TRIM(E$1),
    tipo, TRIM($B13),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13" s="89" t="str">
        <f t="array" ref="F13">IFNA(
  LET(
    colaborador, TRIM(F$1),
    tipo, TRIM($B13),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13" s="89" t="str">
        <f t="array" ref="G13">IFNA(
  LET(
    colaborador, TRIM(G$1),
    tipo, TRIM($B13),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13" s="88" t="str">
        <f t="array" ref="H13">IFNA(
  LET(
    colaborador, TRIM(H$1),
    tipo, TRIM($B13),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13" s="89" t="str">
        <f t="array" ref="I13">IFNA(
  LET(
    colaborador, TRIM(I$1),
    tipo, TRIM($B13),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13" s="89" t="str">
        <f t="array" ref="J13">IFNA(
  LET(
    colaborador, TRIM(J$1),
    tipo, TRIM($B13),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13" s="89" t="str">
        <f t="array" ref="K13">IFNA(
  LET(
    colaborador, TRIM(K$1),
    tipo, TRIM($B13),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13" s="89" t="str">
        <f t="array" ref="L13">IFNA(
  LET(
    colaborador, TRIM(L$1),
    tipo, TRIM($B13),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13" s="89" t="str">
        <f t="array" ref="M13">IFNA(
  LET(
    colaborador, TRIM(M$1),
    tipo, TRIM($B13),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13" s="89" t="str">
        <f t="array" ref="N13">IFNA(
  LET(
    colaborador, TRIM(N$1),
    tipo, TRIM($B13),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14">
      <c r="A14" s="90" t="s">
        <v>149</v>
      </c>
      <c r="B14" s="88"/>
      <c r="C14" s="89" t="str">
        <f t="array" ref="C14">IFNA(
  LET(
    colaborador, TRIM(C$1),
    tipo, TRIM($B14),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14" s="89">
        <f t="array" ref="D14">IFNA(
  LET(
    colaborador, TRIM(D$1),
    tipo, TRIM($B14),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14" s="88">
        <f t="array" ref="E14">IFNA(
  LET(
    colaborador, TRIM(E$1),
    tipo, TRIM($B14),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14" s="89" t="str">
        <f t="array" ref="F14">IFNA(
  LET(
    colaborador, TRIM(F$1),
    tipo, TRIM($B14),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14" s="89" t="str">
        <f t="array" ref="G14">IFNA(
  LET(
    colaborador, TRIM(G$1),
    tipo, TRIM($B14),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14" s="88" t="str">
        <f t="array" ref="H14">IFNA(
  LET(
    colaborador, TRIM(H$1),
    tipo, TRIM($B14),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14" s="89" t="str">
        <f t="array" ref="I14">IFNA(
  LET(
    colaborador, TRIM(I$1),
    tipo, TRIM($B14),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14" s="89" t="str">
        <f t="array" ref="J14">IFNA(
  LET(
    colaborador, TRIM(J$1),
    tipo, TRIM($B14),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14" s="89" t="str">
        <f t="array" ref="K14">IFNA(
  LET(
    colaborador, TRIM(K$1),
    tipo, TRIM($B14),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14" s="89" t="str">
        <f t="array" ref="L14">IFNA(
  LET(
    colaborador, TRIM(L$1),
    tipo, TRIM($B14),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14" s="89" t="str">
        <f t="array" ref="M14">IFNA(
  LET(
    colaborador, TRIM(M$1),
    tipo, TRIM($B14),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14" s="89" t="str">
        <f t="array" ref="N14">IFNA(
  LET(
    colaborador, TRIM(N$1),
    tipo, TRIM($B14),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15">
      <c r="A15" s="90" t="s">
        <v>149</v>
      </c>
      <c r="B15" s="88"/>
      <c r="C15" s="89" t="str">
        <f t="array" ref="C15">IFNA(
  LET(
    colaborador, TRIM(C$1),
    tipo, TRIM($B15),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15" s="89">
        <f t="array" ref="D15">IFNA(
  LET(
    colaborador, TRIM(D$1),
    tipo, TRIM($B15),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15" s="89">
        <f t="array" ref="E15">IFNA(
  LET(
    colaborador, TRIM(E$1),
    tipo, TRIM($B15),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15" s="89" t="str">
        <f t="array" ref="F15">IFNA(
  LET(
    colaborador, TRIM(F$1),
    tipo, TRIM($B15),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15" s="89" t="str">
        <f t="array" ref="G15">IFNA(
  LET(
    colaborador, TRIM(G$1),
    tipo, TRIM($B15),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15" s="88" t="str">
        <f t="array" ref="H15">IFNA(
  LET(
    colaborador, TRIM(H$1),
    tipo, TRIM($B15),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15" s="89" t="str">
        <f t="array" ref="I15">IFNA(
  LET(
    colaborador, TRIM(I$1),
    tipo, TRIM($B15),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15" s="89" t="str">
        <f t="array" ref="J15">IFNA(
  LET(
    colaborador, TRIM(J$1),
    tipo, TRIM($B15),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15" s="89" t="str">
        <f t="array" ref="K15">IFNA(
  LET(
    colaborador, TRIM(K$1),
    tipo, TRIM($B15),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15" s="89" t="str">
        <f t="array" ref="L15">IFNA(
  LET(
    colaborador, TRIM(L$1),
    tipo, TRIM($B15),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15" s="89" t="str">
        <f t="array" ref="M15">IFNA(
  LET(
    colaborador, TRIM(M$1),
    tipo, TRIM($B15),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15" s="89" t="str">
        <f t="array" ref="N15">IFNA(
  LET(
    colaborador, TRIM(N$1),
    tipo, TRIM($B15),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16">
      <c r="A16" s="90" t="s">
        <v>149</v>
      </c>
      <c r="B16" s="88"/>
      <c r="C16" s="89" t="str">
        <f t="array" ref="C16">IFNA(
  LET(
    colaborador, TRIM(C$1),
    tipo, TRIM($B16),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16" s="89">
        <f t="array" ref="D16">IFNA(
  LET(
    colaborador, TRIM(D$1),
    tipo, TRIM($B16),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16" s="89">
        <f t="array" ref="E16">IFNA(
  LET(
    colaborador, TRIM(E$1),
    tipo, TRIM($B16),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16" s="89" t="str">
        <f t="array" ref="F16">IFNA(
  LET(
    colaborador, TRIM(F$1),
    tipo, TRIM($B16),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16" s="89" t="str">
        <f t="array" ref="G16">IFNA(
  LET(
    colaborador, TRIM(G$1),
    tipo, TRIM($B16),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16" s="88" t="str">
        <f t="array" ref="H16">IFNA(
  LET(
    colaborador, TRIM(H$1),
    tipo, TRIM($B16),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16" s="89" t="str">
        <f t="array" ref="I16">IFNA(
  LET(
    colaborador, TRIM(I$1),
    tipo, TRIM($B16),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16" s="89" t="str">
        <f t="array" ref="J16">IFNA(
  LET(
    colaborador, TRIM(J$1),
    tipo, TRIM($B16),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16" s="89" t="str">
        <f t="array" ref="K16">IFNA(
  LET(
    colaborador, TRIM(K$1),
    tipo, TRIM($B16),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16" s="89" t="str">
        <f t="array" ref="L16">IFNA(
  LET(
    colaborador, TRIM(L$1),
    tipo, TRIM($B16),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16" s="89" t="str">
        <f t="array" ref="M16">IFNA(
  LET(
    colaborador, TRIM(M$1),
    tipo, TRIM($B16),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16" s="89" t="str">
        <f t="array" ref="N16">IFNA(
  LET(
    colaborador, TRIM(N$1),
    tipo, TRIM($B16),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17">
      <c r="A17" s="90" t="s">
        <v>149</v>
      </c>
      <c r="B17" s="88"/>
      <c r="C17" s="89" t="str">
        <f t="array" ref="C17">IFNA(
  LET(
    colaborador, TRIM(C$1),
    tipo, TRIM($B17),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17" s="89">
        <f t="array" ref="D17">IFNA(
  LET(
    colaborador, TRIM(D$1),
    tipo, TRIM($B17),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17" s="89">
        <f t="array" ref="E17">IFNA(
  LET(
    colaborador, TRIM(E$1),
    tipo, TRIM($B17),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17" s="89" t="str">
        <f t="array" ref="F17">IFNA(
  LET(
    colaborador, TRIM(F$1),
    tipo, TRIM($B17),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17" s="89" t="str">
        <f t="array" ref="G17">IFNA(
  LET(
    colaborador, TRIM(G$1),
    tipo, TRIM($B17),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17" s="88" t="str">
        <f t="array" ref="H17">IFNA(
  LET(
    colaborador, TRIM(H$1),
    tipo, TRIM($B17),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17" s="89" t="str">
        <f t="array" ref="I17">IFNA(
  LET(
    colaborador, TRIM(I$1),
    tipo, TRIM($B17),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17" s="89" t="str">
        <f t="array" ref="J17">IFNA(
  LET(
    colaborador, TRIM(J$1),
    tipo, TRIM($B17),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17" s="89" t="str">
        <f t="array" ref="K17">IFNA(
  LET(
    colaborador, TRIM(K$1),
    tipo, TRIM($B17),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17" s="89" t="str">
        <f t="array" ref="L17">IFNA(
  LET(
    colaborador, TRIM(L$1),
    tipo, TRIM($B17),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17" s="89" t="str">
        <f t="array" ref="M17">IFNA(
  LET(
    colaborador, TRIM(M$1),
    tipo, TRIM($B17),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17" s="89" t="str">
        <f t="array" ref="N17">IFNA(
  LET(
    colaborador, TRIM(N$1),
    tipo, TRIM($B17),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18">
      <c r="A18" s="90" t="s">
        <v>149</v>
      </c>
      <c r="B18" s="88"/>
      <c r="C18" s="89" t="str">
        <f t="array" ref="C18">IFNA(
  LET(
    colaborador, TRIM(C$1),
    tipo, TRIM($B18),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18" s="89">
        <f t="array" ref="D18">IFNA(
  LET(
    colaborador, TRIM(D$1),
    tipo, TRIM($B18),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18" s="89">
        <f t="array" ref="E18">IFNA(
  LET(
    colaborador, TRIM(E$1),
    tipo, TRIM($B18),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18" s="89" t="str">
        <f t="array" ref="F18">IFNA(
  LET(
    colaborador, TRIM(F$1),
    tipo, TRIM($B18),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18" s="89" t="str">
        <f t="array" ref="G18">IFNA(
  LET(
    colaborador, TRIM(G$1),
    tipo, TRIM($B18),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18" s="88" t="str">
        <f t="array" ref="H18">IFNA(
  LET(
    colaborador, TRIM(H$1),
    tipo, TRIM($B18),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18" s="89" t="str">
        <f t="array" ref="I18">IFNA(
  LET(
    colaborador, TRIM(I$1),
    tipo, TRIM($B18),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18" s="89" t="str">
        <f t="array" ref="J18">IFNA(
  LET(
    colaborador, TRIM(J$1),
    tipo, TRIM($B18),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18" s="89" t="str">
        <f t="array" ref="K18">IFNA(
  LET(
    colaborador, TRIM(K$1),
    tipo, TRIM($B18),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18" s="89" t="str">
        <f t="array" ref="L18">IFNA(
  LET(
    colaborador, TRIM(L$1),
    tipo, TRIM($B18),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18" s="89" t="str">
        <f t="array" ref="M18">IFNA(
  LET(
    colaborador, TRIM(M$1),
    tipo, TRIM($B18),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18" s="89" t="str">
        <f t="array" ref="N18">IFNA(
  LET(
    colaborador, TRIM(N$1),
    tipo, TRIM($B18),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19">
      <c r="A19" s="90" t="s">
        <v>149</v>
      </c>
      <c r="B19" s="88"/>
      <c r="C19" s="89" t="str">
        <f t="array" ref="C19">IFNA(
  LET(
    colaborador, TRIM(C$1),
    tipo, TRIM($B19),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19" s="89">
        <f t="array" ref="D19">IFNA(
  LET(
    colaborador, TRIM(D$1),
    tipo, TRIM($B19),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19" s="89">
        <f t="array" ref="E19">IFNA(
  LET(
    colaborador, TRIM(E$1),
    tipo, TRIM($B19),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19" s="89" t="str">
        <f t="array" ref="F19">IFNA(
  LET(
    colaborador, TRIM(F$1),
    tipo, TRIM($B19),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19" s="88" t="str">
        <f t="array" ref="G19">IFNA(
  LET(
    colaborador, TRIM(G$1),
    tipo, TRIM($B19),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19" s="88" t="str">
        <f t="array" ref="H19">IFNA(
  LET(
    colaborador, TRIM(H$1),
    tipo, TRIM($B19),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19" s="89" t="str">
        <f t="array" ref="I19">IFNA(
  LET(
    colaborador, TRIM(I$1),
    tipo, TRIM($B19),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19" s="89" t="str">
        <f t="array" ref="J19">IFNA(
  LET(
    colaborador, TRIM(J$1),
    tipo, TRIM($B19),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19" s="89" t="str">
        <f t="array" ref="K19">IFNA(
  LET(
    colaborador, TRIM(K$1),
    tipo, TRIM($B19),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19" s="89" t="str">
        <f t="array" ref="L19">IFNA(
  LET(
    colaborador, TRIM(L$1),
    tipo, TRIM($B19),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19" s="89" t="str">
        <f t="array" ref="M19">IFNA(
  LET(
    colaborador, TRIM(M$1),
    tipo, TRIM($B19),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19" s="89" t="str">
        <f t="array" ref="N19">IFNA(
  LET(
    colaborador, TRIM(N$1),
    tipo, TRIM($B19),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20">
      <c r="A20" s="90" t="s">
        <v>149</v>
      </c>
      <c r="B20" s="88"/>
      <c r="C20" s="89" t="str">
        <f t="array" ref="C20">IFNA(
  LET(
    colaborador, TRIM(C$1),
    tipo, TRIM($B20),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20" s="89">
        <f t="array" ref="D20">IFNA(
  LET(
    colaborador, TRIM(D$1),
    tipo, TRIM($B20),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20" s="89">
        <f t="array" ref="E20">IFNA(
  LET(
    colaborador, TRIM(E$1),
    tipo, TRIM($B20),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20" s="89" t="str">
        <f t="array" ref="F20">IFNA(
  LET(
    colaborador, TRIM(F$1),
    tipo, TRIM($B20),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20" s="88" t="str">
        <f t="array" ref="G20">IFNA(
  LET(
    colaborador, TRIM(G$1),
    tipo, TRIM($B20),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20" s="88" t="str">
        <f t="array" ref="H20">IFNA(
  LET(
    colaborador, TRIM(H$1),
    tipo, TRIM($B20),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20" s="89" t="str">
        <f t="array" ref="I20">IFNA(
  LET(
    colaborador, TRIM(I$1),
    tipo, TRIM($B20),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20" s="89" t="str">
        <f t="array" ref="J20">IFNA(
  LET(
    colaborador, TRIM(J$1),
    tipo, TRIM($B20),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20" s="89" t="str">
        <f t="array" ref="K20">IFNA(
  LET(
    colaborador, TRIM(K$1),
    tipo, TRIM($B20),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20" s="89" t="str">
        <f t="array" ref="L20">IFNA(
  LET(
    colaborador, TRIM(L$1),
    tipo, TRIM($B20),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20" s="89" t="str">
        <f t="array" ref="M20">IFNA(
  LET(
    colaborador, TRIM(M$1),
    tipo, TRIM($B20),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20" s="89" t="str">
        <f t="array" ref="N20">IFNA(
  LET(
    colaborador, TRIM(N$1),
    tipo, TRIM($B20),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21">
      <c r="A21" s="90" t="s">
        <v>149</v>
      </c>
      <c r="B21" s="88"/>
      <c r="C21" s="89" t="str">
        <f t="array" ref="C21">IFNA(
  LET(
    colaborador, TRIM(C$1),
    tipo, TRIM($B21),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21" s="89">
        <f t="array" ref="D21">IFNA(
  LET(
    colaborador, TRIM(D$1),
    tipo, TRIM($B21),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21" s="89">
        <f t="array" ref="E21">IFNA(
  LET(
    colaborador, TRIM(E$1),
    tipo, TRIM($B21),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21" s="89" t="str">
        <f t="array" ref="F21">IFNA(
  LET(
    colaborador, TRIM(F$1),
    tipo, TRIM($B21),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21" s="89" t="str">
        <f t="array" ref="G21">IFNA(
  LET(
    colaborador, TRIM(G$1),
    tipo, TRIM($B21),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21" s="88" t="str">
        <f t="array" ref="H21">IFNA(
  LET(
    colaborador, TRIM(H$1),
    tipo, TRIM($B21),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21" s="88" t="str">
        <f t="array" ref="I21">IFNA(
  LET(
    colaborador, TRIM(I$1),
    tipo, TRIM($B21),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21" s="89" t="str">
        <f t="array" ref="J21">IFNA(
  LET(
    colaborador, TRIM(J$1),
    tipo, TRIM($B21),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21" s="89" t="str">
        <f t="array" ref="K21">IFNA(
  LET(
    colaborador, TRIM(K$1),
    tipo, TRIM($B21),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21" s="89" t="str">
        <f t="array" ref="L21">IFNA(
  LET(
    colaborador, TRIM(L$1),
    tipo, TRIM($B21),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21" s="89" t="str">
        <f t="array" ref="M21">IFNA(
  LET(
    colaborador, TRIM(M$1),
    tipo, TRIM($B21),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21" s="89" t="str">
        <f t="array" ref="N21">IFNA(
  LET(
    colaborador, TRIM(N$1),
    tipo, TRIM($B21),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22">
      <c r="A22" s="90" t="s">
        <v>149</v>
      </c>
      <c r="B22" s="88"/>
      <c r="C22" s="89" t="str">
        <f t="array" ref="C22">IFNA(
  LET(
    colaborador, TRIM(C$1),
    tipo, TRIM($B22),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22" s="89">
        <f t="array" ref="D22">IFNA(
  LET(
    colaborador, TRIM(D$1),
    tipo, TRIM($B22),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22" s="89">
        <f t="array" ref="E22">IFNA(
  LET(
    colaborador, TRIM(E$1),
    tipo, TRIM($B22),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22" s="89" t="str">
        <f t="array" ref="F22">IFNA(
  LET(
    colaborador, TRIM(F$1),
    tipo, TRIM($B22),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22" s="89" t="str">
        <f t="array" ref="G22">IFNA(
  LET(
    colaborador, TRIM(G$1),
    tipo, TRIM($B22),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22" s="88" t="str">
        <f t="array" ref="H22">IFNA(
  LET(
    colaborador, TRIM(H$1),
    tipo, TRIM($B22),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22" s="88" t="str">
        <f t="array" ref="I22">IFNA(
  LET(
    colaborador, TRIM(I$1),
    tipo, TRIM($B22),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22" s="89" t="str">
        <f t="array" ref="J22">IFNA(
  LET(
    colaborador, TRIM(J$1),
    tipo, TRIM($B22),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22" s="89" t="str">
        <f t="array" ref="K22">IFNA(
  LET(
    colaborador, TRIM(K$1),
    tipo, TRIM($B22),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22" s="89" t="str">
        <f t="array" ref="L22">IFNA(
  LET(
    colaborador, TRIM(L$1),
    tipo, TRIM($B22),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22" s="89" t="str">
        <f t="array" ref="M22">IFNA(
  LET(
    colaborador, TRIM(M$1),
    tipo, TRIM($B22),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22" s="89" t="str">
        <f t="array" ref="N22">IFNA(
  LET(
    colaborador, TRIM(N$1),
    tipo, TRIM($B22),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23">
      <c r="A23" s="90" t="s">
        <v>149</v>
      </c>
      <c r="B23" s="88"/>
      <c r="C23" s="89" t="str">
        <f t="array" ref="C23">IFNA(
  LET(
    colaborador, TRIM(C$1),
    tipo, TRIM($B23),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23" s="89">
        <f t="array" ref="D23">IFNA(
  LET(
    colaborador, TRIM(D$1),
    tipo, TRIM($B23),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23" s="89">
        <f t="array" ref="E23">IFNA(
  LET(
    colaborador, TRIM(E$1),
    tipo, TRIM($B23),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23" s="89" t="str">
        <f t="array" ref="F23">IFNA(
  LET(
    colaborador, TRIM(F$1),
    tipo, TRIM($B23),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23" s="89" t="str">
        <f t="array" ref="G23">IFNA(
  LET(
    colaborador, TRIM(G$1),
    tipo, TRIM($B23),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23" s="88" t="str">
        <f t="array" ref="H23">IFNA(
  LET(
    colaborador, TRIM(H$1),
    tipo, TRIM($B23),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23" s="89" t="str">
        <f t="array" ref="I23">IFNA(
  LET(
    colaborador, TRIM(I$1),
    tipo, TRIM($B23),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23" s="89" t="str">
        <f t="array" ref="J23">IFNA(
  LET(
    colaborador, TRIM(J$1),
    tipo, TRIM($B23),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23" s="89" t="str">
        <f t="array" ref="K23">IFNA(
  LET(
    colaborador, TRIM(K$1),
    tipo, TRIM($B23),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23" s="89" t="str">
        <f t="array" ref="L23">IFNA(
  LET(
    colaborador, TRIM(L$1),
    tipo, TRIM($B23),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23" s="89" t="str">
        <f t="array" ref="M23">IFNA(
  LET(
    colaborador, TRIM(M$1),
    tipo, TRIM($B23),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23" s="89" t="str">
        <f t="array" ref="N23">IFNA(
  LET(
    colaborador, TRIM(N$1),
    tipo, TRIM($B23),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24">
      <c r="A24" s="90" t="s">
        <v>149</v>
      </c>
      <c r="B24" s="88"/>
      <c r="C24" s="89" t="str">
        <f t="array" ref="C24">IFNA(
  LET(
    colaborador, TRIM(C$1),
    tipo, TRIM($B24),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24" s="89">
        <f t="array" ref="D24">IFNA(
  LET(
    colaborador, TRIM(D$1),
    tipo, TRIM($B24),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24" s="89">
        <f t="array" ref="E24">IFNA(
  LET(
    colaborador, TRIM(E$1),
    tipo, TRIM($B24),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24" s="89" t="str">
        <f t="array" ref="F24">IFNA(
  LET(
    colaborador, TRIM(F$1),
    tipo, TRIM($B24),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24" s="89" t="str">
        <f t="array" ref="G24">IFNA(
  LET(
    colaborador, TRIM(G$1),
    tipo, TRIM($B24),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24" s="88" t="str">
        <f t="array" ref="H24">IFNA(
  LET(
    colaborador, TRIM(H$1),
    tipo, TRIM($B24),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24" s="89" t="str">
        <f t="array" ref="I24">IFNA(
  LET(
    colaborador, TRIM(I$1),
    tipo, TRIM($B24),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24" s="89" t="str">
        <f t="array" ref="J24">IFNA(
  LET(
    colaborador, TRIM(J$1),
    tipo, TRIM($B24),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24" s="89" t="str">
        <f t="array" ref="K24">IFNA(
  LET(
    colaborador, TRIM(K$1),
    tipo, TRIM($B24),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24" s="89" t="str">
        <f t="array" ref="L24">IFNA(
  LET(
    colaborador, TRIM(L$1),
    tipo, TRIM($B24),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24" s="89" t="str">
        <f t="array" ref="M24">IFNA(
  LET(
    colaborador, TRIM(M$1),
    tipo, TRIM($B24),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24" s="89" t="str">
        <f t="array" ref="N24">IFNA(
  LET(
    colaborador, TRIM(N$1),
    tipo, TRIM($B24),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25">
      <c r="A25" s="90" t="s">
        <v>149</v>
      </c>
      <c r="B25" s="88"/>
      <c r="C25" s="89" t="str">
        <f t="array" ref="C25">IFNA(
  LET(
    colaborador, TRIM(C$1),
    tipo, TRIM($B25),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25" s="89">
        <f t="array" ref="D25">IFNA(
  LET(
    colaborador, TRIM(D$1),
    tipo, TRIM($B25),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25" s="89">
        <f t="array" ref="E25">IFNA(
  LET(
    colaborador, TRIM(E$1),
    tipo, TRIM($B25),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25" s="89" t="str">
        <f t="array" ref="F25">IFNA(
  LET(
    colaborador, TRIM(F$1),
    tipo, TRIM($B25),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25" s="89" t="str">
        <f t="array" ref="G25">IFNA(
  LET(
    colaborador, TRIM(G$1),
    tipo, TRIM($B25),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25" s="88" t="str">
        <f t="array" ref="H25">IFNA(
  LET(
    colaborador, TRIM(H$1),
    tipo, TRIM($B25),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25" s="89" t="str">
        <f t="array" ref="I25">IFNA(
  LET(
    colaborador, TRIM(I$1),
    tipo, TRIM($B25),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25" s="89" t="str">
        <f t="array" ref="J25">IFNA(
  LET(
    colaborador, TRIM(J$1),
    tipo, TRIM($B25),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25" s="89" t="str">
        <f t="array" ref="K25">IFNA(
  LET(
    colaborador, TRIM(K$1),
    tipo, TRIM($B25),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25" s="89" t="str">
        <f t="array" ref="L25">IFNA(
  LET(
    colaborador, TRIM(L$1),
    tipo, TRIM($B25),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25" s="89" t="str">
        <f t="array" ref="M25">IFNA(
  LET(
    colaborador, TRIM(M$1),
    tipo, TRIM($B25),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25" s="89" t="str">
        <f t="array" ref="N25">IFNA(
  LET(
    colaborador, TRIM(N$1),
    tipo, TRIM($B25),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26">
      <c r="A26" s="90" t="s">
        <v>149</v>
      </c>
      <c r="B26" s="88"/>
      <c r="C26" s="89" t="str">
        <f t="array" ref="C26">IFNA(
  LET(
    colaborador, TRIM(C$1),
    tipo, TRIM($B26),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26" s="89">
        <f t="array" ref="D26">IFNA(
  LET(
    colaborador, TRIM(D$1),
    tipo, TRIM($B26),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26" s="89">
        <f t="array" ref="E26">IFNA(
  LET(
    colaborador, TRIM(E$1),
    tipo, TRIM($B26),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26" s="89" t="str">
        <f t="array" ref="F26">IFNA(
  LET(
    colaborador, TRIM(F$1),
    tipo, TRIM($B26),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26" s="89" t="str">
        <f t="array" ref="G26">IFNA(
  LET(
    colaborador, TRIM(G$1),
    tipo, TRIM($B26),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26" s="88" t="str">
        <f t="array" ref="H26">IFNA(
  LET(
    colaborador, TRIM(H$1),
    tipo, TRIM($B26),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26" s="89" t="str">
        <f t="array" ref="I26">IFNA(
  LET(
    colaborador, TRIM(I$1),
    tipo, TRIM($B26),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26" s="89" t="str">
        <f t="array" ref="J26">IFNA(
  LET(
    colaborador, TRIM(J$1),
    tipo, TRIM($B26),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26" s="89" t="str">
        <f t="array" ref="K26">IFNA(
  LET(
    colaborador, TRIM(K$1),
    tipo, TRIM($B26),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26" s="88" t="str">
        <f t="array" ref="L26">IFNA(
  LET(
    colaborador, TRIM(L$1),
    tipo, TRIM($B26),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26" s="89" t="str">
        <f t="array" ref="M26">IFNA(
  LET(
    colaborador, TRIM(M$1),
    tipo, TRIM($B26),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26" s="89" t="str">
        <f t="array" ref="N26">IFNA(
  LET(
    colaborador, TRIM(N$1),
    tipo, TRIM($B26),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27">
      <c r="A27" s="90" t="s">
        <v>149</v>
      </c>
      <c r="B27" s="88"/>
      <c r="C27" s="89" t="str">
        <f t="array" ref="C27">IFNA(
  LET(
    colaborador, TRIM(C$1),
    tipo, TRIM($B27),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27" s="89">
        <f t="array" ref="D27">IFNA(
  LET(
    colaborador, TRIM(D$1),
    tipo, TRIM($B27),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27" s="89">
        <f t="array" ref="E27">IFNA(
  LET(
    colaborador, TRIM(E$1),
    tipo, TRIM($B27),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27" s="89" t="str">
        <f t="array" ref="F27">IFNA(
  LET(
    colaborador, TRIM(F$1),
    tipo, TRIM($B27),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27" s="89" t="str">
        <f t="array" ref="G27">IFNA(
  LET(
    colaborador, TRIM(G$1),
    tipo, TRIM($B27),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27" s="88" t="str">
        <f t="array" ref="H27">IFNA(
  LET(
    colaborador, TRIM(H$1),
    tipo, TRIM($B27),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27" s="89" t="str">
        <f t="array" ref="I27">IFNA(
  LET(
    colaborador, TRIM(I$1),
    tipo, TRIM($B27),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27" s="89" t="str">
        <f t="array" ref="J27">IFNA(
  LET(
    colaborador, TRIM(J$1),
    tipo, TRIM($B27),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27" s="89" t="str">
        <f t="array" ref="K27">IFNA(
  LET(
    colaborador, TRIM(K$1),
    tipo, TRIM($B27),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27" s="89" t="str">
        <f t="array" ref="L27">IFNA(
  LET(
    colaborador, TRIM(L$1),
    tipo, TRIM($B27),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27" s="89" t="str">
        <f t="array" ref="M27">IFNA(
  LET(
    colaborador, TRIM(M$1),
    tipo, TRIM($B27),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27" s="89" t="str">
        <f t="array" ref="N27">IFNA(
  LET(
    colaborador, TRIM(N$1),
    tipo, TRIM($B27),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28">
      <c r="A28" s="90" t="s">
        <v>149</v>
      </c>
      <c r="B28" s="88"/>
      <c r="C28" s="89" t="str">
        <f t="array" ref="C28">IFNA(
  LET(
    colaborador, TRIM(C$1),
    tipo, TRIM($B28),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28" s="89">
        <f t="array" ref="D28">IFNA(
  LET(
    colaborador, TRIM(D$1),
    tipo, TRIM($B28),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28" s="89">
        <f t="array" ref="E28">IFNA(
  LET(
    colaborador, TRIM(E$1),
    tipo, TRIM($B28),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28" s="89" t="str">
        <f t="array" ref="F28">IFNA(
  LET(
    colaborador, TRIM(F$1),
    tipo, TRIM($B28),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28" s="89" t="str">
        <f t="array" ref="G28">IFNA(
  LET(
    colaborador, TRIM(G$1),
    tipo, TRIM($B28),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28" s="88" t="str">
        <f t="array" ref="H28">IFNA(
  LET(
    colaborador, TRIM(H$1),
    tipo, TRIM($B28),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28" s="89" t="str">
        <f t="array" ref="I28">IFNA(
  LET(
    colaborador, TRIM(I$1),
    tipo, TRIM($B28),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28" s="89" t="str">
        <f t="array" ref="J28">IFNA(
  LET(
    colaborador, TRIM(J$1),
    tipo, TRIM($B28),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28" s="89" t="str">
        <f t="array" ref="K28">IFNA(
  LET(
    colaborador, TRIM(K$1),
    tipo, TRIM($B28),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28" s="88" t="str">
        <f t="array" ref="L28">IFNA(
  LET(
    colaborador, TRIM(L$1),
    tipo, TRIM($B28),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28" s="89" t="str">
        <f t="array" ref="M28">IFNA(
  LET(
    colaborador, TRIM(M$1),
    tipo, TRIM($B28),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28" s="89" t="str">
        <f t="array" ref="N28">IFNA(
  LET(
    colaborador, TRIM(N$1),
    tipo, TRIM($B28),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29">
      <c r="A29" s="90" t="s">
        <v>149</v>
      </c>
      <c r="B29" s="88"/>
      <c r="C29" s="89" t="str">
        <f t="array" ref="C29">IFNA(
  LET(
    colaborador, TRIM(C$1),
    tipo, TRIM($B29),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29" s="89">
        <f t="array" ref="D29">IFNA(
  LET(
    colaborador, TRIM(D$1),
    tipo, TRIM($B29),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29" s="89">
        <f t="array" ref="E29">IFNA(
  LET(
    colaborador, TRIM(E$1),
    tipo, TRIM($B29),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29" s="89" t="str">
        <f t="array" ref="F29">IFNA(
  LET(
    colaborador, TRIM(F$1),
    tipo, TRIM($B29),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29" s="89" t="str">
        <f t="array" ref="G29">IFNA(
  LET(
    colaborador, TRIM(G$1),
    tipo, TRIM($B29),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29" s="88" t="str">
        <f t="array" ref="H29">IFNA(
  LET(
    colaborador, TRIM(H$1),
    tipo, TRIM($B29),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29" s="89" t="str">
        <f t="array" ref="I29">IFNA(
  LET(
    colaborador, TRIM(I$1),
    tipo, TRIM($B29),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29" s="89" t="str">
        <f t="array" ref="J29">IFNA(
  LET(
    colaborador, TRIM(J$1),
    tipo, TRIM($B29),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29" s="89" t="str">
        <f t="array" ref="K29">IFNA(
  LET(
    colaborador, TRIM(K$1),
    tipo, TRIM($B29),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29" s="89" t="str">
        <f t="array" ref="L29">IFNA(
  LET(
    colaborador, TRIM(L$1),
    tipo, TRIM($B29),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29" s="89" t="str">
        <f t="array" ref="M29">IFNA(
  LET(
    colaborador, TRIM(M$1),
    tipo, TRIM($B29),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29" s="89" t="str">
        <f t="array" ref="N29">IFNA(
  LET(
    colaborador, TRIM(N$1),
    tipo, TRIM($B29),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30">
      <c r="A30" s="90" t="s">
        <v>149</v>
      </c>
      <c r="B30" s="88"/>
      <c r="C30" s="89" t="str">
        <f t="array" ref="C30">IFNA(
  LET(
    colaborador, TRIM(C$1),
    tipo, TRIM($B30),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30" s="89">
        <f t="array" ref="D30">IFNA(
  LET(
    colaborador, TRIM(D$1),
    tipo, TRIM($B30),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30" s="89">
        <f t="array" ref="E30">IFNA(
  LET(
    colaborador, TRIM(E$1),
    tipo, TRIM($B30),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30" s="89" t="str">
        <f t="array" ref="F30">IFNA(
  LET(
    colaborador, TRIM(F$1),
    tipo, TRIM($B30),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30" s="89" t="str">
        <f t="array" ref="G30">IFNA(
  LET(
    colaborador, TRIM(G$1),
    tipo, TRIM($B30),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30" s="88" t="str">
        <f t="array" ref="H30">IFNA(
  LET(
    colaborador, TRIM(H$1),
    tipo, TRIM($B30),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30" s="89" t="str">
        <f t="array" ref="I30">IFNA(
  LET(
    colaborador, TRIM(I$1),
    tipo, TRIM($B30),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30" s="89" t="str">
        <f t="array" ref="J30">IFNA(
  LET(
    colaborador, TRIM(J$1),
    tipo, TRIM($B30),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30" s="89" t="str">
        <f t="array" ref="K30">IFNA(
  LET(
    colaborador, TRIM(K$1),
    tipo, TRIM($B30),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30" s="89" t="str">
        <f t="array" ref="L30">IFNA(
  LET(
    colaborador, TRIM(L$1),
    tipo, TRIM($B30),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30" s="89" t="str">
        <f t="array" ref="M30">IFNA(
  LET(
    colaborador, TRIM(M$1),
    tipo, TRIM($B30),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30" s="89" t="str">
        <f t="array" ref="N30">IFNA(
  LET(
    colaborador, TRIM(N$1),
    tipo, TRIM($B30),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31">
      <c r="A31" s="90" t="s">
        <v>149</v>
      </c>
      <c r="B31" s="88"/>
      <c r="C31" s="89" t="str">
        <f t="array" ref="C31">IFNA(
  LET(
    colaborador, TRIM(C$1),
    tipo, TRIM($B31),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31" s="89">
        <f t="array" ref="D31">IFNA(
  LET(
    colaborador, TRIM(D$1),
    tipo, TRIM($B31),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31" s="89">
        <f t="array" ref="E31">IFNA(
  LET(
    colaborador, TRIM(E$1),
    tipo, TRIM($B31),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31" s="89" t="str">
        <f t="array" ref="F31">IFNA(
  LET(
    colaborador, TRIM(F$1),
    tipo, TRIM($B31),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31" s="89" t="str">
        <f t="array" ref="G31">IFNA(
  LET(
    colaborador, TRIM(G$1),
    tipo, TRIM($B31),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31" s="88" t="str">
        <f t="array" ref="H31">IFNA(
  LET(
    colaborador, TRIM(H$1),
    tipo, TRIM($B31),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31" s="89" t="str">
        <f t="array" ref="I31">IFNA(
  LET(
    colaborador, TRIM(I$1),
    tipo, TRIM($B31),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31" s="89" t="str">
        <f t="array" ref="J31">IFNA(
  LET(
    colaborador, TRIM(J$1),
    tipo, TRIM($B31),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31" s="89" t="str">
        <f t="array" ref="K31">IFNA(
  LET(
    colaborador, TRIM(K$1),
    tipo, TRIM($B31),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31" s="89" t="str">
        <f t="array" ref="L31">IFNA(
  LET(
    colaborador, TRIM(L$1),
    tipo, TRIM($B31),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31" s="89" t="str">
        <f t="array" ref="M31">IFNA(
  LET(
    colaborador, TRIM(M$1),
    tipo, TRIM($B31),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31" s="89" t="str">
        <f t="array" ref="N31">IFNA(
  LET(
    colaborador, TRIM(N$1),
    tipo, TRIM($B31),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32">
      <c r="A32" s="90" t="s">
        <v>149</v>
      </c>
      <c r="B32" s="88"/>
      <c r="C32" s="89" t="str">
        <f t="array" ref="C32">IFNA(
  LET(
    colaborador, TRIM(C$1),
    tipo, TRIM($B32),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32" s="89">
        <f t="array" ref="D32">IFNA(
  LET(
    colaborador, TRIM(D$1),
    tipo, TRIM($B32),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32" s="89">
        <f t="array" ref="E32">IFNA(
  LET(
    colaborador, TRIM(E$1),
    tipo, TRIM($B32),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32" s="89" t="str">
        <f t="array" ref="F32">IFNA(
  LET(
    colaborador, TRIM(F$1),
    tipo, TRIM($B32),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32" s="89" t="str">
        <f t="array" ref="G32">IFNA(
  LET(
    colaborador, TRIM(G$1),
    tipo, TRIM($B32),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32" s="88" t="str">
        <f t="array" ref="H32">IFNA(
  LET(
    colaborador, TRIM(H$1),
    tipo, TRIM($B32),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32" s="89" t="str">
        <f t="array" ref="I32">IFNA(
  LET(
    colaborador, TRIM(I$1),
    tipo, TRIM($B32),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32" s="89" t="str">
        <f t="array" ref="J32">IFNA(
  LET(
    colaborador, TRIM(J$1),
    tipo, TRIM($B32),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32" s="89" t="str">
        <f t="array" ref="K32">IFNA(
  LET(
    colaborador, TRIM(K$1),
    tipo, TRIM($B32),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32" s="89" t="str">
        <f t="array" ref="L32">IFNA(
  LET(
    colaborador, TRIM(L$1),
    tipo, TRIM($B32),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32" s="89" t="str">
        <f t="array" ref="M32">IFNA(
  LET(
    colaborador, TRIM(M$1),
    tipo, TRIM($B32),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32" s="89" t="str">
        <f t="array" ref="N32">IFNA(
  LET(
    colaborador, TRIM(N$1),
    tipo, TRIM($B32),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33">
      <c r="A33" s="90" t="s">
        <v>149</v>
      </c>
      <c r="B33" s="88"/>
      <c r="C33" s="89" t="str">
        <f t="array" ref="C33">IFNA(
  LET(
    colaborador, TRIM(C$1),
    tipo, TRIM($B33),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33" s="89">
        <f t="array" ref="D33">IFNA(
  LET(
    colaborador, TRIM(D$1),
    tipo, TRIM($B33),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33" s="89">
        <f t="array" ref="E33">IFNA(
  LET(
    colaborador, TRIM(E$1),
    tipo, TRIM($B33),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33" s="89" t="str">
        <f t="array" ref="F33">IFNA(
  LET(
    colaborador, TRIM(F$1),
    tipo, TRIM($B33),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33" s="89" t="str">
        <f t="array" ref="G33">IFNA(
  LET(
    colaborador, TRIM(G$1),
    tipo, TRIM($B33),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33" s="88" t="str">
        <f t="array" ref="H33">IFNA(
  LET(
    colaborador, TRIM(H$1),
    tipo, TRIM($B33),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33" s="89" t="str">
        <f t="array" ref="I33">IFNA(
  LET(
    colaborador, TRIM(I$1),
    tipo, TRIM($B33),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33" s="89" t="str">
        <f t="array" ref="J33">IFNA(
  LET(
    colaborador, TRIM(J$1),
    tipo, TRIM($B33),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33" s="89" t="str">
        <f t="array" ref="K33">IFNA(
  LET(
    colaborador, TRIM(K$1),
    tipo, TRIM($B33),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33" s="89" t="str">
        <f t="array" ref="L33">IFNA(
  LET(
    colaborador, TRIM(L$1),
    tipo, TRIM($B33),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33" s="89" t="str">
        <f t="array" ref="M33">IFNA(
  LET(
    colaborador, TRIM(M$1),
    tipo, TRIM($B33),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33" s="89" t="str">
        <f t="array" ref="N33">IFNA(
  LET(
    colaborador, TRIM(N$1),
    tipo, TRIM($B33),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34">
      <c r="A34" s="90" t="s">
        <v>149</v>
      </c>
      <c r="B34" s="88"/>
      <c r="C34" s="89" t="str">
        <f t="array" ref="C34">IFNA(
  LET(
    colaborador, TRIM(C$1),
    tipo, TRIM($B34),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34" s="89">
        <f t="array" ref="D34">IFNA(
  LET(
    colaborador, TRIM(D$1),
    tipo, TRIM($B34),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34" s="89">
        <f t="array" ref="E34">IFNA(
  LET(
    colaborador, TRIM(E$1),
    tipo, TRIM($B34),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34" s="89" t="str">
        <f t="array" ref="F34">IFNA(
  LET(
    colaborador, TRIM(F$1),
    tipo, TRIM($B34),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34" s="89" t="str">
        <f t="array" ref="G34">IFNA(
  LET(
    colaborador, TRIM(G$1),
    tipo, TRIM($B34),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34" s="88" t="str">
        <f t="array" ref="H34">IFNA(
  LET(
    colaborador, TRIM(H$1),
    tipo, TRIM($B34),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34" s="89" t="str">
        <f t="array" ref="I34">IFNA(
  LET(
    colaborador, TRIM(I$1),
    tipo, TRIM($B34),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34" s="89" t="str">
        <f t="array" ref="J34">IFNA(
  LET(
    colaborador, TRIM(J$1),
    tipo, TRIM($B34),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34" s="89" t="str">
        <f t="array" ref="K34">IFNA(
  LET(
    colaborador, TRIM(K$1),
    tipo, TRIM($B34),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34" s="89" t="str">
        <f t="array" ref="L34">IFNA(
  LET(
    colaborador, TRIM(L$1),
    tipo, TRIM($B34),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34" s="89" t="str">
        <f t="array" ref="M34">IFNA(
  LET(
    colaborador, TRIM(M$1),
    tipo, TRIM($B34),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34" s="89" t="str">
        <f t="array" ref="N34">IFNA(
  LET(
    colaborador, TRIM(N$1),
    tipo, TRIM($B34),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35">
      <c r="A35" s="90" t="s">
        <v>149</v>
      </c>
      <c r="B35" s="88"/>
      <c r="C35" s="89" t="str">
        <f t="array" ref="C35">IFNA(
  LET(
    colaborador, TRIM(C$1),
    tipo, TRIM($B35),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35" s="89">
        <f t="array" ref="D35">IFNA(
  LET(
    colaborador, TRIM(D$1),
    tipo, TRIM($B35),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35" s="89">
        <f t="array" ref="E35">IFNA(
  LET(
    colaborador, TRIM(E$1),
    tipo, TRIM($B35),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35" s="89" t="str">
        <f t="array" ref="F35">IFNA(
  LET(
    colaborador, TRIM(F$1),
    tipo, TRIM($B35),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35" s="89" t="str">
        <f t="array" ref="G35">IFNA(
  LET(
    colaborador, TRIM(G$1),
    tipo, TRIM($B35),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35" s="88" t="str">
        <f t="array" ref="H35">IFNA(
  LET(
    colaborador, TRIM(H$1),
    tipo, TRIM($B35),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35" s="89" t="str">
        <f t="array" ref="I35">IFNA(
  LET(
    colaborador, TRIM(I$1),
    tipo, TRIM($B35),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35" s="89" t="str">
        <f t="array" ref="J35">IFNA(
  LET(
    colaborador, TRIM(J$1),
    tipo, TRIM($B35),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35" s="89" t="str">
        <f t="array" ref="K35">IFNA(
  LET(
    colaborador, TRIM(K$1),
    tipo, TRIM($B35),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35" s="89" t="str">
        <f t="array" ref="L35">IFNA(
  LET(
    colaborador, TRIM(L$1),
    tipo, TRIM($B35),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35" s="89" t="str">
        <f t="array" ref="M35">IFNA(
  LET(
    colaborador, TRIM(M$1),
    tipo, TRIM($B35),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35" s="89" t="str">
        <f t="array" ref="N35">IFNA(
  LET(
    colaborador, TRIM(N$1),
    tipo, TRIM($B35),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36">
      <c r="A36" s="90" t="s">
        <v>149</v>
      </c>
      <c r="B36" s="88"/>
      <c r="C36" s="89" t="str">
        <f t="array" ref="C36">IFNA(
  LET(
    colaborador, TRIM(C$1),
    tipo, TRIM($B36),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D36" s="89">
        <f t="array" ref="D36">IFNA(
  LET(
    colaborador, TRIM(D$1),
    tipo, TRIM($B36),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36" s="89">
        <f t="array" ref="E36">IFNA(
  LET(
    colaborador, TRIM(E$1),
    tipo, TRIM($B36),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36" s="89" t="str">
        <f t="array" ref="F36">IFNA(
  LET(
    colaborador, TRIM(F$1),
    tipo, TRIM($B36),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G36" s="89" t="str">
        <f t="array" ref="G36">IFNA(
  LET(
    colaborador, TRIM(G$1),
    tipo, TRIM($B36),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H36" s="88" t="str">
        <f t="array" ref="H36">IFNA(
  LET(
    colaborador, TRIM(H$1),
    tipo, TRIM($B36),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/>
      </c>
      <c r="I36" s="89" t="str">
        <f t="array" ref="I36">IFNA(
  LET(
    colaborador, TRIM(I$1),
    tipo, TRIM($B36),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J36" s="89" t="str">
        <f t="array" ref="J36">IFNA(
  LET(
    colaborador, TRIM(J$1),
    tipo, TRIM($B36),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K36" s="89" t="str">
        <f t="array" ref="K36">IFNA(
  LET(
    colaborador, TRIM(K$1),
    tipo, TRIM($B36),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L36" s="89" t="str">
        <f t="array" ref="L36">IFNA(
  LET(
    colaborador, TRIM(L$1),
    tipo, TRIM($B36),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36" s="89" t="str">
        <f t="array" ref="M36">IFNA(
  LET(
    colaborador, TRIM(M$1),
    tipo, TRIM($B36),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N36" s="89" t="str">
        <f t="array" ref="N36">IFNA(
  LET(
    colaborador, TRIM(N$1),
    tipo, TRIM($B36),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</row>
    <row r="37">
      <c r="A37" s="90" t="s">
        <v>149</v>
      </c>
      <c r="B37" s="88" t="s">
        <v>53</v>
      </c>
      <c r="C37" s="89">
        <f t="array" ref="C37">IFNA(
  LET(
    colaborador, TRIM(C$1),
    tipo, TRIM($B37),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D37" s="89">
        <f t="array" ref="D37">IFNA(
  LET(
    colaborador, TRIM(D$1),
    tipo, TRIM($B37),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E37" s="89">
        <f t="array" ref="E37">IFNA(
  LET(
    colaborador, TRIM(E$1),
    tipo, TRIM($B37),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F37" s="89">
        <f t="array" ref="F37">IFNA(
  LET(
    colaborador, TRIM(F$1),
    tipo, TRIM($B37),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G37" s="89">
        <f t="array" ref="G37">IFNA(
  LET(
    colaborador, TRIM(G$1),
    tipo, TRIM($B37),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H37" s="88">
        <f t="array" ref="H37">IFNA(
  LET(
    colaborador, TRIM(H$1),
    tipo, TRIM($B37),
    linhaColab, MATCH(colaborador, Janeiro26!$B:$B, 0),
    linhaTotal, MATCH("Total", INDEX(Janeiro26!$B:$B, linhaColab+1):Janeiro26!$B:$B, 0) + linhaColab,
    faixaTipos, INDEX(Janeiro26!$B:$B, linhaColab+2):INDEX(Janeiro26!$B:$B, linhaTotal-1),
    faixaValores, INDEX(Janeiro26!$C:$C, linhaColab+2):INDEX(Janeiro26!$C:$C, linhaTotal-1),
    INDEX(
      faixaValores,
      MATCH(TRUE, LOWER(TRIM(faixaTipos))=LOWER(tipo), 0)
    )
  ),
  0
)</f>
        <v>0</v>
      </c>
      <c r="I37" s="89">
        <f t="array" ref="I37">IFNA(
  LET(
    colaborador, TRIM(I$1),
    tipo, TRIM($B37),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  <c r="J37" s="89">
        <f t="array" ref="J37">IFNA(
  LET(
    colaborador, TRIM(J$1),
    tipo, TRIM($B37),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  <c r="K37" s="89">
        <f t="array" ref="K37">IFNA(
  LET(
    colaborador, TRIM(K$1),
    tipo, TRIM($B37),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  <c r="L37" s="89" t="str">
        <f t="array" ref="L37">IFNA(
  LET(
    colaborador, TRIM(L$1),
    tipo, TRIM($B37),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/>
      </c>
      <c r="M37" s="89">
        <f t="array" ref="M37">IFNA(
  LET(
    colaborador, TRIM(M$1),
    tipo, TRIM($B37),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  <c r="N37" s="89">
        <f t="array" ref="N37">IFNA(
  LET(
    colaborador, TRIM(N$1),
    tipo, TRIM($B37),
    linhaColab, MATCH(colaborador, Janeiro26!$F:$F, 0),
    linhaTotal, MATCH("Total", INDEX(Janeiro26!$F:$F, linhaColab+1):Janeiro26!$F:$F, 0) + linhaColab,
    faixaTipos, INDEX(Janeiro26!$F:$F, linhaColab+2):INDEX(Janeiro26!$F:$F, linhaTotal-1),
    faixaValores, INDEX(Janeiro26!$G:$G, linhaColab+2):INDEX(Janeiro26!$G:$G, linhaTotal-1),
    INDEX(
      faixaValores,
      MATCH(TRUE, LOWER(TRIM(faixaTipos))=LOWER(tipo), 0)
    )
  ),
  0
)</f>
        <v>0</v>
      </c>
    </row>
    <row r="38">
      <c r="A38" s="91" t="s">
        <v>149</v>
      </c>
      <c r="B38" s="92" t="s">
        <v>150</v>
      </c>
      <c r="C38" s="93">
        <f t="shared" ref="C38:N38" si="1">SUM(C3:C37)</f>
        <v>0</v>
      </c>
      <c r="D38" s="93">
        <f t="shared" si="1"/>
        <v>0</v>
      </c>
      <c r="E38" s="93">
        <f t="shared" si="1"/>
        <v>0</v>
      </c>
      <c r="F38" s="93">
        <f t="shared" si="1"/>
        <v>0</v>
      </c>
      <c r="G38" s="93">
        <f t="shared" si="1"/>
        <v>0</v>
      </c>
      <c r="H38" s="93">
        <f t="shared" si="1"/>
        <v>0</v>
      </c>
      <c r="I38" s="93">
        <f t="shared" si="1"/>
        <v>0</v>
      </c>
      <c r="J38" s="93">
        <f t="shared" si="1"/>
        <v>0</v>
      </c>
      <c r="K38" s="93">
        <f t="shared" si="1"/>
        <v>0</v>
      </c>
      <c r="L38" s="93">
        <f t="shared" si="1"/>
        <v>0</v>
      </c>
      <c r="M38" s="93">
        <f t="shared" si="1"/>
        <v>0</v>
      </c>
      <c r="N38" s="93">
        <f t="shared" si="1"/>
        <v>0</v>
      </c>
    </row>
    <row r="39">
      <c r="A39" s="90" t="s">
        <v>151</v>
      </c>
      <c r="B39" s="88" t="str">
        <f>IFERROR(__xludf.DUMMYFUNCTION("UNIQUE(
  VSTACK(
    FILTER(
      Fevereiro26!B1:B1027,
      Fevereiro26!B1:B1027&lt;&gt;"""",
      SCAN(
        0,
        Fevereiro26!B1:B1027,
        LAMBDA(acc,x, acc + N(LOWER(TRIM(x))=""tipo"") - N(LOWER(TRIM(x))=""total""))
      )&gt;0,
      LOWER(T"&amp;"RIM(Fevereiro26!B1:B1027))&lt;&gt;""tipo""
    ),
    FILTER(
      Fevereiro26!F1:F988,
      Fevereiro26!F1:F988&lt;&gt;"""",
      SCAN(
        0,
        Fevereiro26!F1:F988,
        LAMBDA(acc,x, acc + N(LOWER(TRIM(x))=""tipo"") - N(LOWER(TRIM(x))=""total""))
 "&amp;"     )&gt;0,
      LOWER(TRIM(Fevereiro26!F1:F988))&lt;&gt;""tipo""
    )
  )
)"),"Transporte")</f>
        <v>Transporte</v>
      </c>
      <c r="C39" s="89">
        <f t="array" ref="C39">IFNA(
  LET(
    colaborador, TRIM(C$1),
    tipo, TRIM($B39),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675.37</v>
      </c>
      <c r="D39" s="89">
        <f t="array" ref="D39">IFNA(
  LET(
    colaborador, TRIM(D$1),
    tipo, TRIM($B39),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39" s="89">
        <f t="array" ref="E39">IFNA(
  LET(
    colaborador, TRIM(E$1),
    tipo, TRIM($B39),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39" s="89">
        <f t="array" ref="F39">IFNA(
  LET(
    colaborador, TRIM(F$1),
    tipo, TRIM($B39),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39" s="89">
        <f t="array" ref="G39">IFNA(
  LET(
    colaborador, TRIM(G$1),
    tipo, TRIM($B39),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209.99</v>
      </c>
      <c r="H39" s="89">
        <f t="array" ref="H39">IFNA(
  LET(
    colaborador, TRIM(H$1),
    tipo, TRIM($B39),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39" s="88" t="str">
        <f t="array" ref="I39">IFNA(
  LET(
    colaborador, TRIM(I$1),
    tipo, TRIM($B39),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/>
      </c>
      <c r="J39" s="88">
        <f t="array" ref="J39">IFNA(
  LET(
    colaborador, TRIM(J$1),
    tipo, TRIM($B39),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493.59</v>
      </c>
      <c r="K39" s="88">
        <f t="array" ref="K39">IFNA(
  LET(
    colaborador, TRIM(K$1),
    tipo, TRIM($B39),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200.26</v>
      </c>
      <c r="L39" s="88">
        <f t="array" ref="L39">IFNA(
  LET(
    colaborador, TRIM(L$1),
    tipo, TRIM($B39),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92.21</v>
      </c>
      <c r="M39" s="88">
        <f t="array" ref="M39">IFNA(
  LET(
    colaborador, TRIM(M$1),
    tipo, TRIM($B39),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125.83</v>
      </c>
      <c r="N39" s="88">
        <f t="array" ref="N39">IFNA(
  LET(
    colaborador, TRIM(N$1),
    tipo, TRIM($B39),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40">
      <c r="A40" s="90" t="s">
        <v>151</v>
      </c>
      <c r="B40" s="88" t="str">
        <f>IFERROR(__xludf.DUMMYFUNCTION("""COMPUTED_VALUE"""),"Alimentação")</f>
        <v>Alimentação</v>
      </c>
      <c r="C40" s="89">
        <f t="array" ref="C40">IFNA(
  LET(
    colaborador, TRIM(C$1),
    tipo, TRIM($B40),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45.04</v>
      </c>
      <c r="D40" s="89" t="str">
        <f t="array" ref="D40">IFNA(
  LET(
    colaborador, TRIM(D$1),
    tipo, TRIM($B40),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/>
      </c>
      <c r="E40" s="89">
        <f t="array" ref="E40">IFNA(
  LET(
    colaborador, TRIM(E$1),
    tipo, TRIM($B40),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40" s="89">
        <f t="array" ref="F40">IFNA(
  LET(
    colaborador, TRIM(F$1),
    tipo, TRIM($B40),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40" s="89">
        <f t="array" ref="G40">IFNA(
  LET(
    colaborador, TRIM(G$1),
    tipo, TRIM($B40),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110.53</v>
      </c>
      <c r="H40" s="89">
        <f t="array" ref="H40">IFNA(
  LET(
    colaborador, TRIM(H$1),
    tipo, TRIM($B40),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46.9</v>
      </c>
      <c r="I40" s="88" t="str">
        <f t="array" ref="I40">IFNA(
  LET(
    colaborador, TRIM(I$1),
    tipo, TRIM($B40),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/>
      </c>
      <c r="J40" s="88">
        <f t="array" ref="J40">IFNA(
  LET(
    colaborador, TRIM(J$1),
    tipo, TRIM($B40),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40" s="88" t="str">
        <f t="array" ref="K40">IFNA(
  LET(
    colaborador, TRIM(K$1),
    tipo, TRIM($B40),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/>
      </c>
      <c r="L40" s="88">
        <f t="array" ref="L40">IFNA(
  LET(
    colaborador, TRIM(L$1),
    tipo, TRIM($B40),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40" s="88">
        <f t="array" ref="M40">IFNA(
  LET(
    colaborador, TRIM(M$1),
    tipo, TRIM($B40),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40" s="88">
        <f t="array" ref="N40">IFNA(
  LET(
    colaborador, TRIM(N$1),
    tipo, TRIM($B40),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41">
      <c r="A41" s="90" t="s">
        <v>151</v>
      </c>
      <c r="B41" s="88" t="str">
        <f>IFERROR(__xludf.DUMMYFUNCTION("""COMPUTED_VALUE"""),"Aniversariante do Mês + Comemorações")</f>
        <v>Aniversariante do Mês + Comemorações</v>
      </c>
      <c r="C41" s="89">
        <f t="array" ref="C41">IFNA(
  LET(
    colaborador, TRIM(C$1),
    tipo, TRIM($B41),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598.67</v>
      </c>
      <c r="D41" s="89">
        <f t="array" ref="D41">IFNA(
  LET(
    colaborador, TRIM(D$1),
    tipo, TRIM($B41),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41" s="89">
        <f t="array" ref="E41">IFNA(
  LET(
    colaborador, TRIM(E$1),
    tipo, TRIM($B41),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41" s="89">
        <f t="array" ref="F41">IFNA(
  LET(
    colaborador, TRIM(F$1),
    tipo, TRIM($B41),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41" s="89">
        <f t="array" ref="G41">IFNA(
  LET(
    colaborador, TRIM(G$1),
    tipo, TRIM($B41),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41" s="89">
        <f t="array" ref="H41">IFNA(
  LET(
    colaborador, TRIM(H$1),
    tipo, TRIM($B41),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41" s="88">
        <f t="array" ref="I41">IFNA(
  LET(
    colaborador, TRIM(I$1),
    tipo, TRIM($B41),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41" s="88">
        <f t="array" ref="J41">IFNA(
  LET(
    colaborador, TRIM(J$1),
    tipo, TRIM($B41),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41" s="88">
        <f t="array" ref="K41">IFNA(
  LET(
    colaborador, TRIM(K$1),
    tipo, TRIM($B41),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41" s="88">
        <f t="array" ref="L41">IFNA(
  LET(
    colaborador, TRIM(L$1),
    tipo, TRIM($B41),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41" s="88">
        <f t="array" ref="M41">IFNA(
  LET(
    colaborador, TRIM(M$1),
    tipo, TRIM($B41),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41" s="88">
        <f t="array" ref="N41">IFNA(
  LET(
    colaborador, TRIM(N$1),
    tipo, TRIM($B41),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42">
      <c r="A42" s="90" t="s">
        <v>151</v>
      </c>
      <c r="B42" s="88" t="str">
        <f>IFERROR(__xludf.DUMMYFUNCTION("""COMPUTED_VALUE"""),"Compra do Pc Biel 3/6")</f>
        <v>Compra do Pc Biel 3/6</v>
      </c>
      <c r="C42" s="89">
        <f t="array" ref="C42">IFNA(
  LET(
    colaborador, TRIM(C$1),
    tipo, TRIM($B42),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379</v>
      </c>
      <c r="D42" s="89">
        <f t="array" ref="D42">IFNA(
  LET(
    colaborador, TRIM(D$1),
    tipo, TRIM($B42),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42" s="89">
        <f t="array" ref="E42">IFNA(
  LET(
    colaborador, TRIM(E$1),
    tipo, TRIM($B42),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42" s="89">
        <f t="array" ref="F42">IFNA(
  LET(
    colaborador, TRIM(F$1),
    tipo, TRIM($B42),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42" s="89">
        <f t="array" ref="G42">IFNA(
  LET(
    colaborador, TRIM(G$1),
    tipo, TRIM($B42),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42" s="89">
        <f t="array" ref="H42">IFNA(
  LET(
    colaborador, TRIM(H$1),
    tipo, TRIM($B42),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42" s="88">
        <f t="array" ref="I42">IFNA(
  LET(
    colaborador, TRIM(I$1),
    tipo, TRIM($B42),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42" s="88">
        <f t="array" ref="J42">IFNA(
  LET(
    colaborador, TRIM(J$1),
    tipo, TRIM($B42),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42" s="88">
        <f t="array" ref="K42">IFNA(
  LET(
    colaborador, TRIM(K$1),
    tipo, TRIM($B42),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42" s="88">
        <f t="array" ref="L42">IFNA(
  LET(
    colaborador, TRIM(L$1),
    tipo, TRIM($B42),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42" s="88">
        <f t="array" ref="M42">IFNA(
  LET(
    colaborador, TRIM(M$1),
    tipo, TRIM($B42),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42" s="88">
        <f t="array" ref="N42">IFNA(
  LET(
    colaborador, TRIM(N$1),
    tipo, TRIM($B42),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43">
      <c r="A43" s="90" t="s">
        <v>151</v>
      </c>
      <c r="B43" s="88" t="str">
        <f>IFERROR(__xludf.DUMMYFUNCTION("""COMPUTED_VALUE"""),"Bomba de Água + pizza")</f>
        <v>Bomba de Água + pizza</v>
      </c>
      <c r="C43" s="89">
        <f t="array" ref="C43">IFNA(
  LET(
    colaborador, TRIM(C$1),
    tipo, TRIM($B43),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284.52</v>
      </c>
      <c r="D43" s="89">
        <f t="array" ref="D43">IFNA(
  LET(
    colaborador, TRIM(D$1),
    tipo, TRIM($B43),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43" s="89">
        <f t="array" ref="E43">IFNA(
  LET(
    colaborador, TRIM(E$1),
    tipo, TRIM($B43),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43" s="89">
        <f t="array" ref="F43">IFNA(
  LET(
    colaborador, TRIM(F$1),
    tipo, TRIM($B43),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43" s="89">
        <f t="array" ref="G43">IFNA(
  LET(
    colaborador, TRIM(G$1),
    tipo, TRIM($B43),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43" s="89">
        <f t="array" ref="H43">IFNA(
  LET(
    colaborador, TRIM(H$1),
    tipo, TRIM($B43),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43" s="88">
        <f t="array" ref="I43">IFNA(
  LET(
    colaborador, TRIM(I$1),
    tipo, TRIM($B43),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43" s="88">
        <f t="array" ref="J43">IFNA(
  LET(
    colaborador, TRIM(J$1),
    tipo, TRIM($B43),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43" s="88">
        <f t="array" ref="K43">IFNA(
  LET(
    colaborador, TRIM(K$1),
    tipo, TRIM($B43),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43" s="88">
        <f t="array" ref="L43">IFNA(
  LET(
    colaborador, TRIM(L$1),
    tipo, TRIM($B43),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43" s="88">
        <f t="array" ref="M43">IFNA(
  LET(
    colaborador, TRIM(M$1),
    tipo, TRIM($B43),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43" s="88">
        <f t="array" ref="N43">IFNA(
  LET(
    colaborador, TRIM(N$1),
    tipo, TRIM($B43),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44">
      <c r="A44" s="90" t="s">
        <v>151</v>
      </c>
      <c r="B44" s="88" t="str">
        <f>IFERROR(__xludf.DUMMYFUNCTION("""COMPUTED_VALUE"""),"Transporte/Manutenção")</f>
        <v>Transporte/Manutenção</v>
      </c>
      <c r="C44" s="89">
        <f t="array" ref="C44">IFNA(
  LET(
    colaborador, TRIM(C$1),
    tipo, TRIM($B44),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44" s="89" t="str">
        <f t="array" ref="D44">IFNA(
  LET(
    colaborador, TRIM(D$1),
    tipo, TRIM($B44),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/>
      </c>
      <c r="E44" s="89">
        <f t="array" ref="E44">IFNA(
  LET(
    colaborador, TRIM(E$1),
    tipo, TRIM($B44),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44" s="89" t="str">
        <f t="array" ref="F44">IFNA(
  LET(
    colaborador, TRIM(F$1),
    tipo, TRIM($B44),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/>
      </c>
      <c r="G44" s="89">
        <f t="array" ref="G44">IFNA(
  LET(
    colaborador, TRIM(G$1),
    tipo, TRIM($B44),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44" s="89">
        <f t="array" ref="H44">IFNA(
  LET(
    colaborador, TRIM(H$1),
    tipo, TRIM($B44),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44" s="88">
        <f t="array" ref="I44">IFNA(
  LET(
    colaborador, TRIM(I$1),
    tipo, TRIM($B44),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44" s="88">
        <f t="array" ref="J44">IFNA(
  LET(
    colaborador, TRIM(J$1),
    tipo, TRIM($B44),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44" s="88">
        <f t="array" ref="K44">IFNA(
  LET(
    colaborador, TRIM(K$1),
    tipo, TRIM($B44),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44" s="88">
        <f t="array" ref="L44">IFNA(
  LET(
    colaborador, TRIM(L$1),
    tipo, TRIM($B44),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44" s="88">
        <f t="array" ref="M44">IFNA(
  LET(
    colaborador, TRIM(M$1),
    tipo, TRIM($B44),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44" s="88">
        <f t="array" ref="N44">IFNA(
  LET(
    colaborador, TRIM(N$1),
    tipo, TRIM($B44),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45">
      <c r="A45" s="90" t="s">
        <v>151</v>
      </c>
      <c r="B45" s="88" t="str">
        <f>IFERROR(__xludf.DUMMYFUNCTION("""COMPUTED_VALUE"""),"Plano telefone + Internet chip xpe")</f>
        <v>Plano telefone + Internet chip xpe</v>
      </c>
      <c r="C45" s="89">
        <f t="array" ref="C45">IFNA(
  LET(
    colaborador, TRIM(C$1),
    tipo, TRIM($B45),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45" s="89">
        <f t="array" ref="D45">IFNA(
  LET(
    colaborador, TRIM(D$1),
    tipo, TRIM($B45),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88.88</v>
      </c>
      <c r="E45" s="89">
        <f t="array" ref="E45">IFNA(
  LET(
    colaborador, TRIM(E$1),
    tipo, TRIM($B45),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45" s="89">
        <f t="array" ref="F45">IFNA(
  LET(
    colaborador, TRIM(F$1),
    tipo, TRIM($B45),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45" s="89">
        <f t="array" ref="G45">IFNA(
  LET(
    colaborador, TRIM(G$1),
    tipo, TRIM($B45),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45" s="89">
        <f t="array" ref="H45">IFNA(
  LET(
    colaborador, TRIM(H$1),
    tipo, TRIM($B45),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45" s="88">
        <f t="array" ref="I45">IFNA(
  LET(
    colaborador, TRIM(I$1),
    tipo, TRIM($B45),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45" s="88">
        <f t="array" ref="J45">IFNA(
  LET(
    colaborador, TRIM(J$1),
    tipo, TRIM($B45),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45" s="88">
        <f t="array" ref="K45">IFNA(
  LET(
    colaborador, TRIM(K$1),
    tipo, TRIM($B45),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45" s="88">
        <f t="array" ref="L45">IFNA(
  LET(
    colaborador, TRIM(L$1),
    tipo, TRIM($B45),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45" s="88">
        <f t="array" ref="M45">IFNA(
  LET(
    colaborador, TRIM(M$1),
    tipo, TRIM($B45),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45" s="88">
        <f t="array" ref="N45">IFNA(
  LET(
    colaborador, TRIM(N$1),
    tipo, TRIM($B45),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46">
      <c r="A46" s="90" t="s">
        <v>151</v>
      </c>
      <c r="B46" s="88" t="str">
        <f>IFERROR(__xludf.DUMMYFUNCTION("""COMPUTED_VALUE"""),"Cadeiras + Microfone 4/14")</f>
        <v>Cadeiras + Microfone 4/14</v>
      </c>
      <c r="C46" s="89">
        <f t="array" ref="C46">IFNA(
  LET(
    colaborador, TRIM(C$1),
    tipo, TRIM($B46),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46" s="89">
        <f t="array" ref="D46">IFNA(
  LET(
    colaborador, TRIM(D$1),
    tipo, TRIM($B46),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221.44</v>
      </c>
      <c r="E46" s="89">
        <f t="array" ref="E46">IFNA(
  LET(
    colaborador, TRIM(E$1),
    tipo, TRIM($B46),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46" s="89">
        <f t="array" ref="F46">IFNA(
  LET(
    colaborador, TRIM(F$1),
    tipo, TRIM($B46),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46" s="89">
        <f t="array" ref="G46">IFNA(
  LET(
    colaborador, TRIM(G$1),
    tipo, TRIM($B46),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46" s="89">
        <f t="array" ref="H46">IFNA(
  LET(
    colaborador, TRIM(H$1),
    tipo, TRIM($B46),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46" s="88">
        <f t="array" ref="I46">IFNA(
  LET(
    colaborador, TRIM(I$1),
    tipo, TRIM($B46),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46" s="88">
        <f t="array" ref="J46">IFNA(
  LET(
    colaborador, TRIM(J$1),
    tipo, TRIM($B46),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46" s="88">
        <f t="array" ref="K46">IFNA(
  LET(
    colaborador, TRIM(K$1),
    tipo, TRIM($B46),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46" s="88">
        <f t="array" ref="L46">IFNA(
  LET(
    colaborador, TRIM(L$1),
    tipo, TRIM($B46),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46" s="88">
        <f t="array" ref="M46">IFNA(
  LET(
    colaborador, TRIM(M$1),
    tipo, TRIM($B46),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46" s="88">
        <f t="array" ref="N46">IFNA(
  LET(
    colaborador, TRIM(N$1),
    tipo, TRIM($B46),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47">
      <c r="A47" s="90" t="s">
        <v>151</v>
      </c>
      <c r="B47" s="88" t="str">
        <f>IFERROR(__xludf.DUMMYFUNCTION("""COMPUTED_VALUE"""),"Impressora 3D 2/12")</f>
        <v>Impressora 3D 2/12</v>
      </c>
      <c r="C47" s="89">
        <f t="array" ref="C47">IFNA(
  LET(
    colaborador, TRIM(C$1),
    tipo, TRIM($B47),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47" s="89">
        <f t="array" ref="D47">IFNA(
  LET(
    colaborador, TRIM(D$1),
    tipo, TRIM($B47),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284.99</v>
      </c>
      <c r="E47" s="89">
        <f t="array" ref="E47">IFNA(
  LET(
    colaborador, TRIM(E$1),
    tipo, TRIM($B47),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47" s="89">
        <f t="array" ref="F47">IFNA(
  LET(
    colaborador, TRIM(F$1),
    tipo, TRIM($B47),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47" s="89">
        <f t="array" ref="G47">IFNA(
  LET(
    colaborador, TRIM(G$1),
    tipo, TRIM($B47),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47" s="89">
        <f t="array" ref="H47">IFNA(
  LET(
    colaborador, TRIM(H$1),
    tipo, TRIM($B47),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47" s="88">
        <f t="array" ref="I47">IFNA(
  LET(
    colaborador, TRIM(I$1),
    tipo, TRIM($B47),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47" s="88">
        <f t="array" ref="J47">IFNA(
  LET(
    colaborador, TRIM(J$1),
    tipo, TRIM($B47),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47" s="88">
        <f t="array" ref="K47">IFNA(
  LET(
    colaborador, TRIM(K$1),
    tipo, TRIM($B47),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47" s="88">
        <f t="array" ref="L47">IFNA(
  LET(
    colaborador, TRIM(L$1),
    tipo, TRIM($B47),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47" s="88">
        <f t="array" ref="M47">IFNA(
  LET(
    colaborador, TRIM(M$1),
    tipo, TRIM($B47),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47" s="88">
        <f t="array" ref="N47">IFNA(
  LET(
    colaborador, TRIM(N$1),
    tipo, TRIM($B47),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48">
      <c r="A48" s="90" t="s">
        <v>151</v>
      </c>
      <c r="B48" s="88" t="str">
        <f>IFERROR(__xludf.DUMMYFUNCTION("""COMPUTED_VALUE"""),"Combustível")</f>
        <v>Combustível</v>
      </c>
      <c r="C48" s="89">
        <f t="array" ref="C48">IFNA(
  LET(
    colaborador, TRIM(C$1),
    tipo, TRIM($B48),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48" s="89">
        <f t="array" ref="D48">IFNA(
  LET(
    colaborador, TRIM(D$1),
    tipo, TRIM($B48),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48" s="89" t="str">
        <f t="array" ref="E48">IFNA(
  LET(
    colaborador, TRIM(E$1),
    tipo, TRIM($B48),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/>
      </c>
      <c r="F48" s="89">
        <f t="array" ref="F48">IFNA(
  LET(
    colaborador, TRIM(F$1),
    tipo, TRIM($B48),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48" s="89">
        <f t="array" ref="G48">IFNA(
  LET(
    colaborador, TRIM(G$1),
    tipo, TRIM($B48),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48" s="89">
        <f t="array" ref="H48">IFNA(
  LET(
    colaborador, TRIM(H$1),
    tipo, TRIM($B48),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48" s="88">
        <f t="array" ref="I48">IFNA(
  LET(
    colaborador, TRIM(I$1),
    tipo, TRIM($B48),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48" s="88">
        <f t="array" ref="J48">IFNA(
  LET(
    colaborador, TRIM(J$1),
    tipo, TRIM($B48),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48" s="88">
        <f t="array" ref="K48">IFNA(
  LET(
    colaborador, TRIM(K$1),
    tipo, TRIM($B48),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48" s="88">
        <f t="array" ref="L48">IFNA(
  LET(
    colaborador, TRIM(L$1),
    tipo, TRIM($B48),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48" s="88">
        <f t="array" ref="M48">IFNA(
  LET(
    colaborador, TRIM(M$1),
    tipo, TRIM($B48),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48" s="88">
        <f t="array" ref="N48">IFNA(
  LET(
    colaborador, TRIM(N$1),
    tipo, TRIM($B48),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49">
      <c r="A49" s="90" t="s">
        <v>151</v>
      </c>
      <c r="B49" s="88" t="str">
        <f>IFERROR(__xludf.DUMMYFUNCTION("""COMPUTED_VALUE"""),"Alimentação Visitas")</f>
        <v>Alimentação Visitas</v>
      </c>
      <c r="C49" s="89">
        <f t="array" ref="C49">IFNA(
  LET(
    colaborador, TRIM(C$1),
    tipo, TRIM($B49),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49" s="89">
        <f t="array" ref="D49">IFNA(
  LET(
    colaborador, TRIM(D$1),
    tipo, TRIM($B49),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49" s="89" t="str">
        <f t="array" ref="E49">IFNA(
  LET(
    colaborador, TRIM(E$1),
    tipo, TRIM($B49),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/>
      </c>
      <c r="F49" s="89">
        <f t="array" ref="F49">IFNA(
  LET(
    colaborador, TRIM(F$1),
    tipo, TRIM($B49),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49" s="89">
        <f t="array" ref="G49">IFNA(
  LET(
    colaborador, TRIM(G$1),
    tipo, TRIM($B49),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49" s="89">
        <f t="array" ref="H49">IFNA(
  LET(
    colaborador, TRIM(H$1),
    tipo, TRIM($B49),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49" s="88">
        <f t="array" ref="I49">IFNA(
  LET(
    colaborador, TRIM(I$1),
    tipo, TRIM($B49),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49" s="88">
        <f t="array" ref="J49">IFNA(
  LET(
    colaborador, TRIM(J$1),
    tipo, TRIM($B49),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49" s="88">
        <f t="array" ref="K49">IFNA(
  LET(
    colaborador, TRIM(K$1),
    tipo, TRIM($B49),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49" s="88">
        <f t="array" ref="L49">IFNA(
  LET(
    colaborador, TRIM(L$1),
    tipo, TRIM($B49),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49" s="88">
        <f t="array" ref="M49">IFNA(
  LET(
    colaborador, TRIM(M$1),
    tipo, TRIM($B49),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49" s="88">
        <f t="array" ref="N49">IFNA(
  LET(
    colaborador, TRIM(N$1),
    tipo, TRIM($B49),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50">
      <c r="A50" s="90" t="s">
        <v>151</v>
      </c>
      <c r="B50" s="88" t="str">
        <f>IFERROR(__xludf.DUMMYFUNCTION("""COMPUTED_VALUE"""),"Uber")</f>
        <v>Uber</v>
      </c>
      <c r="C50" s="89">
        <f t="array" ref="C50">IFNA(
  LET(
    colaborador, TRIM(C$1),
    tipo, TRIM($B50),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50" s="89">
        <f t="array" ref="D50">IFNA(
  LET(
    colaborador, TRIM(D$1),
    tipo, TRIM($B50),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50" s="89" t="str">
        <f t="array" ref="E50">IFNA(
  LET(
    colaborador, TRIM(E$1),
    tipo, TRIM($B50),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/>
      </c>
      <c r="F50" s="89">
        <f t="array" ref="F50">IFNA(
  LET(
    colaborador, TRIM(F$1),
    tipo, TRIM($B50),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50" s="89">
        <f t="array" ref="G50">IFNA(
  LET(
    colaborador, TRIM(G$1),
    tipo, TRIM($B50),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50" s="89">
        <f t="array" ref="H50">IFNA(
  LET(
    colaborador, TRIM(H$1),
    tipo, TRIM($B50),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50" s="88">
        <f t="array" ref="I50">IFNA(
  LET(
    colaborador, TRIM(I$1),
    tipo, TRIM($B50),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50" s="88">
        <f t="array" ref="J50">IFNA(
  LET(
    colaborador, TRIM(J$1),
    tipo, TRIM($B50),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50" s="88">
        <f t="array" ref="K50">IFNA(
  LET(
    colaborador, TRIM(K$1),
    tipo, TRIM($B50),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50" s="88">
        <f t="array" ref="L50">IFNA(
  LET(
    colaborador, TRIM(L$1),
    tipo, TRIM($B50),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50" s="88">
        <f t="array" ref="M50">IFNA(
  LET(
    colaborador, TRIM(M$1),
    tipo, TRIM($B50),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50" s="88">
        <f t="array" ref="N50">IFNA(
  LET(
    colaborador, TRIM(N$1),
    tipo, TRIM($B50),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51">
      <c r="A51" s="90" t="s">
        <v>151</v>
      </c>
      <c r="B51" s="88" t="str">
        <f>IFERROR(__xludf.DUMMYFUNCTION("""COMPUTED_VALUE"""),"Lojão do condomínio")</f>
        <v>Lojão do condomínio</v>
      </c>
      <c r="C51" s="89">
        <f t="array" ref="C51">IFNA(
  LET(
    colaborador, TRIM(C$1),
    tipo, TRIM($B51),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51" s="89">
        <f t="array" ref="D51">IFNA(
  LET(
    colaborador, TRIM(D$1),
    tipo, TRIM($B51),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51" s="89" t="str">
        <f t="array" ref="E51">IFNA(
  LET(
    colaborador, TRIM(E$1),
    tipo, TRIM($B51),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/>
      </c>
      <c r="F51" s="89">
        <f t="array" ref="F51">IFNA(
  LET(
    colaborador, TRIM(F$1),
    tipo, TRIM($B51),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51" s="89">
        <f t="array" ref="G51">IFNA(
  LET(
    colaborador, TRIM(G$1),
    tipo, TRIM($B51),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51" s="89">
        <f t="array" ref="H51">IFNA(
  LET(
    colaborador, TRIM(H$1),
    tipo, TRIM($B51),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51" s="88">
        <f t="array" ref="I51">IFNA(
  LET(
    colaborador, TRIM(I$1),
    tipo, TRIM($B51),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51" s="88">
        <f t="array" ref="J51">IFNA(
  LET(
    colaborador, TRIM(J$1),
    tipo, TRIM($B51),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51" s="88">
        <f t="array" ref="K51">IFNA(
  LET(
    colaborador, TRIM(K$1),
    tipo, TRIM($B51),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51" s="88">
        <f t="array" ref="L51">IFNA(
  LET(
    colaborador, TRIM(L$1),
    tipo, TRIM($B51),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51" s="88">
        <f t="array" ref="M51">IFNA(
  LET(
    colaborador, TRIM(M$1),
    tipo, TRIM($B51),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51" s="88">
        <f t="array" ref="N51">IFNA(
  LET(
    colaborador, TRIM(N$1),
    tipo, TRIM($B51),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52">
      <c r="A52" s="90" t="s">
        <v>151</v>
      </c>
      <c r="B52" s="88" t="str">
        <f>IFERROR(__xludf.DUMMYFUNCTION("""COMPUTED_VALUE"""),"Curso MUC 11/12")</f>
        <v>Curso MUC 11/12</v>
      </c>
      <c r="C52" s="89">
        <f t="array" ref="C52">IFNA(
  LET(
    colaborador, TRIM(C$1),
    tipo, TRIM($B52),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52" s="89">
        <f t="array" ref="D52">IFNA(
  LET(
    colaborador, TRIM(D$1),
    tipo, TRIM($B52),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52" s="89">
        <f t="array" ref="E52">IFNA(
  LET(
    colaborador, TRIM(E$1),
    tipo, TRIM($B52),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99.7</v>
      </c>
      <c r="F52" s="89">
        <f t="array" ref="F52">IFNA(
  LET(
    colaborador, TRIM(F$1),
    tipo, TRIM($B52),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52" s="89">
        <f t="array" ref="G52">IFNA(
  LET(
    colaborador, TRIM(G$1),
    tipo, TRIM($B52),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52" s="89">
        <f t="array" ref="H52">IFNA(
  LET(
    colaborador, TRIM(H$1),
    tipo, TRIM($B52),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52" s="88">
        <f t="array" ref="I52">IFNA(
  LET(
    colaborador, TRIM(I$1),
    tipo, TRIM($B52),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52" s="88">
        <f t="array" ref="J52">IFNA(
  LET(
    colaborador, TRIM(J$1),
    tipo, TRIM($B52),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52" s="88">
        <f t="array" ref="K52">IFNA(
  LET(
    colaborador, TRIM(K$1),
    tipo, TRIM($B52),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52" s="88">
        <f t="array" ref="L52">IFNA(
  LET(
    colaborador, TRIM(L$1),
    tipo, TRIM($B52),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52" s="88">
        <f t="array" ref="M52">IFNA(
  LET(
    colaborador, TRIM(M$1),
    tipo, TRIM($B52),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52" s="88">
        <f t="array" ref="N52">IFNA(
  LET(
    colaborador, TRIM(N$1),
    tipo, TRIM($B52),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53">
      <c r="A53" s="90" t="s">
        <v>151</v>
      </c>
      <c r="B53" s="88" t="str">
        <f>IFERROR(__xludf.DUMMYFUNCTION("""COMPUTED_VALUE"""),"ART")</f>
        <v>ART</v>
      </c>
      <c r="C53" s="89">
        <f t="array" ref="C53">IFNA(
  LET(
    colaborador, TRIM(C$1),
    tipo, TRIM($B53),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53" s="89">
        <f t="array" ref="D53">IFNA(
  LET(
    colaborador, TRIM(D$1),
    tipo, TRIM($B53),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53" s="89" t="str">
        <f t="array" ref="E53">IFNA(
  LET(
    colaborador, TRIM(E$1),
    tipo, TRIM($B53),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/>
      </c>
      <c r="F53" s="89">
        <f t="array" ref="F53">IFNA(
  LET(
    colaborador, TRIM(F$1),
    tipo, TRIM($B53),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53" s="89">
        <f t="array" ref="G53">IFNA(
  LET(
    colaborador, TRIM(G$1),
    tipo, TRIM($B53),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53" s="89">
        <f t="array" ref="H53">IFNA(
  LET(
    colaborador, TRIM(H$1),
    tipo, TRIM($B53),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53" s="88">
        <f t="array" ref="I53">IFNA(
  LET(
    colaborador, TRIM(I$1),
    tipo, TRIM($B53),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53" s="88">
        <f t="array" ref="J53">IFNA(
  LET(
    colaborador, TRIM(J$1),
    tipo, TRIM($B53),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53" s="88">
        <f t="array" ref="K53">IFNA(
  LET(
    colaborador, TRIM(K$1),
    tipo, TRIM($B53),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53" s="88">
        <f t="array" ref="L53">IFNA(
  LET(
    colaborador, TRIM(L$1),
    tipo, TRIM($B53),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53" s="88">
        <f t="array" ref="M53">IFNA(
  LET(
    colaborador, TRIM(M$1),
    tipo, TRIM($B53),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53" s="88">
        <f t="array" ref="N53">IFNA(
  LET(
    colaborador, TRIM(N$1),
    tipo, TRIM($B53),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54">
      <c r="A54" s="90" t="s">
        <v>151</v>
      </c>
      <c r="B54" s="88" t="str">
        <f>IFERROR(__xludf.DUMMYFUNCTION("""COMPUTED_VALUE"""),"Google Drive")</f>
        <v>Google Drive</v>
      </c>
      <c r="C54" s="89">
        <f t="array" ref="C54">IFNA(
  LET(
    colaborador, TRIM(C$1),
    tipo, TRIM($B54),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54" s="89">
        <f t="array" ref="D54">IFNA(
  LET(
    colaborador, TRIM(D$1),
    tipo, TRIM($B54),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54" s="89">
        <f t="array" ref="E54">IFNA(
  LET(
    colaborador, TRIM(E$1),
    tipo, TRIM($B54),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54" s="89">
        <f t="array" ref="F54">IFNA(
  LET(
    colaborador, TRIM(F$1),
    tipo, TRIM($B54),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4.5</v>
      </c>
      <c r="G54" s="89">
        <f t="array" ref="G54">IFNA(
  LET(
    colaborador, TRIM(G$1),
    tipo, TRIM($B54),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54" s="89">
        <f t="array" ref="H54">IFNA(
  LET(
    colaborador, TRIM(H$1),
    tipo, TRIM($B54),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54" s="88">
        <f t="array" ref="I54">IFNA(
  LET(
    colaborador, TRIM(I$1),
    tipo, TRIM($B54),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54" s="88">
        <f t="array" ref="J54">IFNA(
  LET(
    colaborador, TRIM(J$1),
    tipo, TRIM($B54),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54" s="88">
        <f t="array" ref="K54">IFNA(
  LET(
    colaborador, TRIM(K$1),
    tipo, TRIM($B54),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54" s="88">
        <f t="array" ref="L54">IFNA(
  LET(
    colaborador, TRIM(L$1),
    tipo, TRIM($B54),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54" s="88">
        <f t="array" ref="M54">IFNA(
  LET(
    colaborador, TRIM(M$1),
    tipo, TRIM($B54),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54" s="88">
        <f t="array" ref="N54">IFNA(
  LET(
    colaborador, TRIM(N$1),
    tipo, TRIM($B54),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55">
      <c r="A55" s="90" t="s">
        <v>151</v>
      </c>
      <c r="B55" s="88" t="str">
        <f>IFERROR(__xludf.DUMMYFUNCTION("""COMPUTED_VALUE"""),"Ar Cond 3/12")</f>
        <v>Ar Cond 3/12</v>
      </c>
      <c r="C55" s="89">
        <f t="array" ref="C55">IFNA(
  LET(
    colaborador, TRIM(C$1),
    tipo, TRIM($B55),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55" s="89">
        <f t="array" ref="D55">IFNA(
  LET(
    colaborador, TRIM(D$1),
    tipo, TRIM($B55),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55" s="89">
        <f t="array" ref="E55">IFNA(
  LET(
    colaborador, TRIM(E$1),
    tipo, TRIM($B55),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55" s="89">
        <f t="array" ref="F55">IFNA(
  LET(
    colaborador, TRIM(F$1),
    tipo, TRIM($B55),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324.95</v>
      </c>
      <c r="G55" s="89">
        <f t="array" ref="G55">IFNA(
  LET(
    colaborador, TRIM(G$1),
    tipo, TRIM($B55),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55" s="89">
        <f t="array" ref="H55">IFNA(
  LET(
    colaborador, TRIM(H$1),
    tipo, TRIM($B55),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55" s="88">
        <f t="array" ref="I55">IFNA(
  LET(
    colaborador, TRIM(I$1),
    tipo, TRIM($B55),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55" s="88">
        <f t="array" ref="J55">IFNA(
  LET(
    colaborador, TRIM(J$1),
    tipo, TRIM($B55),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55" s="88">
        <f t="array" ref="K55">IFNA(
  LET(
    colaborador, TRIM(K$1),
    tipo, TRIM($B55),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55" s="88">
        <f t="array" ref="L55">IFNA(
  LET(
    colaborador, TRIM(L$1),
    tipo, TRIM($B55),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55" s="88">
        <f t="array" ref="M55">IFNA(
  LET(
    colaborador, TRIM(M$1),
    tipo, TRIM($B55),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55" s="88">
        <f t="array" ref="N55">IFNA(
  LET(
    colaborador, TRIM(N$1),
    tipo, TRIM($B55),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56">
      <c r="A56" s="90" t="s">
        <v>151</v>
      </c>
      <c r="B56" s="88" t="str">
        <f>IFERROR(__xludf.DUMMYFUNCTION("""COMPUTED_VALUE"""),"Monitores 3/12")</f>
        <v>Monitores 3/12</v>
      </c>
      <c r="C56" s="89">
        <f t="array" ref="C56">IFNA(
  LET(
    colaborador, TRIM(C$1),
    tipo, TRIM($B56),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56" s="89">
        <f t="array" ref="D56">IFNA(
  LET(
    colaborador, TRIM(D$1),
    tipo, TRIM($B56),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56" s="89">
        <f t="array" ref="E56">IFNA(
  LET(
    colaborador, TRIM(E$1),
    tipo, TRIM($B56),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56" s="89">
        <f t="array" ref="F56">IFNA(
  LET(
    colaborador, TRIM(F$1),
    tipo, TRIM($B56),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144.5</v>
      </c>
      <c r="G56" s="89">
        <f t="array" ref="G56">IFNA(
  LET(
    colaborador, TRIM(G$1),
    tipo, TRIM($B56),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56" s="89">
        <f t="array" ref="H56">IFNA(
  LET(
    colaborador, TRIM(H$1),
    tipo, TRIM($B56),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56" s="88">
        <f t="array" ref="I56">IFNA(
  LET(
    colaborador, TRIM(I$1),
    tipo, TRIM($B56),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56" s="88">
        <f t="array" ref="J56">IFNA(
  LET(
    colaborador, TRIM(J$1),
    tipo, TRIM($B56),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56" s="88">
        <f t="array" ref="K56">IFNA(
  LET(
    colaborador, TRIM(K$1),
    tipo, TRIM($B56),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56" s="88">
        <f t="array" ref="L56">IFNA(
  LET(
    colaborador, TRIM(L$1),
    tipo, TRIM($B56),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56" s="88">
        <f t="array" ref="M56">IFNA(
  LET(
    colaborador, TRIM(M$1),
    tipo, TRIM($B56),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56" s="88">
        <f t="array" ref="N56">IFNA(
  LET(
    colaborador, TRIM(N$1),
    tipo, TRIM($B56),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57">
      <c r="A57" s="90" t="s">
        <v>151</v>
      </c>
      <c r="B57" s="88" t="str">
        <f>IFERROR(__xludf.DUMMYFUNCTION("""COMPUTED_VALUE"""),"Notebooks part 2 - 8/24")</f>
        <v>Notebooks part 2 - 8/24</v>
      </c>
      <c r="C57" s="89">
        <f t="array" ref="C57">IFNA(
  LET(
    colaborador, TRIM(C$1),
    tipo, TRIM($B57),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57" s="89">
        <f t="array" ref="D57">IFNA(
  LET(
    colaborador, TRIM(D$1),
    tipo, TRIM($B57),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57" s="89">
        <f t="array" ref="E57">IFNA(
  LET(
    colaborador, TRIM(E$1),
    tipo, TRIM($B57),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57" s="89">
        <f t="array" ref="F57">IFNA(
  LET(
    colaborador, TRIM(F$1),
    tipo, TRIM($B57),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291.66</v>
      </c>
      <c r="G57" s="89">
        <f t="array" ref="G57">IFNA(
  LET(
    colaborador, TRIM(G$1),
    tipo, TRIM($B57),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57" s="89">
        <f t="array" ref="H57">IFNA(
  LET(
    colaborador, TRIM(H$1),
    tipo, TRIM($B57),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57" s="88">
        <f t="array" ref="I57">IFNA(
  LET(
    colaborador, TRIM(I$1),
    tipo, TRIM($B57),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57" s="88">
        <f t="array" ref="J57">IFNA(
  LET(
    colaborador, TRIM(J$1),
    tipo, TRIM($B57),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57" s="88">
        <f t="array" ref="K57">IFNA(
  LET(
    colaborador, TRIM(K$1),
    tipo, TRIM($B57),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57" s="88">
        <f t="array" ref="L57">IFNA(
  LET(
    colaborador, TRIM(L$1),
    tipo, TRIM($B57),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57" s="88">
        <f t="array" ref="M57">IFNA(
  LET(
    colaborador, TRIM(M$1),
    tipo, TRIM($B57),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57" s="88">
        <f t="array" ref="N57">IFNA(
  LET(
    colaborador, TRIM(N$1),
    tipo, TRIM($B57),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58">
      <c r="A58" s="90" t="s">
        <v>151</v>
      </c>
      <c r="B58" s="88" t="str">
        <f>IFERROR(__xludf.DUMMYFUNCTION("""COMPUTED_VALUE"""),"Gás de cozinha")</f>
        <v>Gás de cozinha</v>
      </c>
      <c r="C58" s="89">
        <f t="array" ref="C58">IFNA(
  LET(
    colaborador, TRIM(C$1),
    tipo, TRIM($B58),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58" s="89">
        <f t="array" ref="D58">IFNA(
  LET(
    colaborador, TRIM(D$1),
    tipo, TRIM($B58),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58" s="89">
        <f t="array" ref="E58">IFNA(
  LET(
    colaborador, TRIM(E$1),
    tipo, TRIM($B58),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58" s="89">
        <f t="array" ref="F58">IFNA(
  LET(
    colaborador, TRIM(F$1),
    tipo, TRIM($B58),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58" s="89" t="str">
        <f t="array" ref="G58">IFNA(
  LET(
    colaborador, TRIM(G$1),
    tipo, TRIM($B58),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/>
      </c>
      <c r="H58" s="89">
        <f t="array" ref="H58">IFNA(
  LET(
    colaborador, TRIM(H$1),
    tipo, TRIM($B58),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58" s="88">
        <f t="array" ref="I58">IFNA(
  LET(
    colaborador, TRIM(I$1),
    tipo, TRIM($B58),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58" s="88">
        <f t="array" ref="J58">IFNA(
  LET(
    colaborador, TRIM(J$1),
    tipo, TRIM($B58),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58" s="88">
        <f t="array" ref="K58">IFNA(
  LET(
    colaborador, TRIM(K$1),
    tipo, TRIM($B58),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58" s="88">
        <f t="array" ref="L58">IFNA(
  LET(
    colaborador, TRIM(L$1),
    tipo, TRIM($B58),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58" s="88">
        <f t="array" ref="M58">IFNA(
  LET(
    colaborador, TRIM(M$1),
    tipo, TRIM($B58),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58" s="88">
        <f t="array" ref="N58">IFNA(
  LET(
    colaborador, TRIM(N$1),
    tipo, TRIM($B58),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59">
      <c r="A59" s="90" t="s">
        <v>151</v>
      </c>
      <c r="B59" s="88" t="str">
        <f>IFERROR(__xludf.DUMMYFUNCTION("""COMPUTED_VALUE"""),"recarga chip")</f>
        <v>recarga chip</v>
      </c>
      <c r="C59" s="89">
        <f t="array" ref="C59">IFNA(
  LET(
    colaborador, TRIM(C$1),
    tipo, TRIM($B59),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59" s="89">
        <f t="array" ref="D59">IFNA(
  LET(
    colaborador, TRIM(D$1),
    tipo, TRIM($B59),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59" s="89">
        <f t="array" ref="E59">IFNA(
  LET(
    colaborador, TRIM(E$1),
    tipo, TRIM($B59),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59" s="89">
        <f t="array" ref="F59">IFNA(
  LET(
    colaborador, TRIM(F$1),
    tipo, TRIM($B59),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59" s="89" t="str">
        <f t="array" ref="G59">IFNA(
  LET(
    colaborador, TRIM(G$1),
    tipo, TRIM($B59),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/>
      </c>
      <c r="H59" s="89">
        <f t="array" ref="H59">IFNA(
  LET(
    colaborador, TRIM(H$1),
    tipo, TRIM($B59),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59" s="88">
        <f t="array" ref="I59">IFNA(
  LET(
    colaborador, TRIM(I$1),
    tipo, TRIM($B59),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59" s="88">
        <f t="array" ref="J59">IFNA(
  LET(
    colaborador, TRIM(J$1),
    tipo, TRIM($B59),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59" s="88">
        <f t="array" ref="K59">IFNA(
  LET(
    colaborador, TRIM(K$1),
    tipo, TRIM($B59),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59" s="88">
        <f t="array" ref="L59">IFNA(
  LET(
    colaborador, TRIM(L$1),
    tipo, TRIM($B59),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59" s="88">
        <f t="array" ref="M59">IFNA(
  LET(
    colaborador, TRIM(M$1),
    tipo, TRIM($B59),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59" s="88">
        <f t="array" ref="N59">IFNA(
  LET(
    colaborador, TRIM(N$1),
    tipo, TRIM($B59),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60">
      <c r="A60" s="90" t="s">
        <v>151</v>
      </c>
      <c r="B60" s="88" t="str">
        <f>IFERROR(__xludf.DUMMYFUNCTION("""COMPUTED_VALUE"""),"Transporte/gasolina")</f>
        <v>Transporte/gasolina</v>
      </c>
      <c r="C60" s="89">
        <f t="array" ref="C60">IFNA(
  LET(
    colaborador, TRIM(C$1),
    tipo, TRIM($B60),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60" s="89">
        <f t="array" ref="D60">IFNA(
  LET(
    colaborador, TRIM(D$1),
    tipo, TRIM($B60),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60" s="89">
        <f t="array" ref="E60">IFNA(
  LET(
    colaborador, TRIM(E$1),
    tipo, TRIM($B60),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60" s="89">
        <f t="array" ref="F60">IFNA(
  LET(
    colaborador, TRIM(F$1),
    tipo, TRIM($B60),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60" s="89">
        <f t="array" ref="G60">IFNA(
  LET(
    colaborador, TRIM(G$1),
    tipo, TRIM($B60),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60" s="89">
        <f t="array" ref="H60">IFNA(
  LET(
    colaborador, TRIM(H$1),
    tipo, TRIM($B60),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410</v>
      </c>
      <c r="I60" s="88">
        <f t="array" ref="I60">IFNA(
  LET(
    colaborador, TRIM(I$1),
    tipo, TRIM($B60),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60" s="88">
        <f t="array" ref="J60">IFNA(
  LET(
    colaborador, TRIM(J$1),
    tipo, TRIM($B60),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60" s="88">
        <f t="array" ref="K60">IFNA(
  LET(
    colaborador, TRIM(K$1),
    tipo, TRIM($B60),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60" s="88">
        <f t="array" ref="L60">IFNA(
  LET(
    colaborador, TRIM(L$1),
    tipo, TRIM($B60),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60" s="88">
        <f t="array" ref="M60">IFNA(
  LET(
    colaborador, TRIM(M$1),
    tipo, TRIM($B60),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60" s="88">
        <f t="array" ref="N60">IFNA(
  LET(
    colaborador, TRIM(N$1),
    tipo, TRIM($B60),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61">
      <c r="A61" s="90" t="s">
        <v>151</v>
      </c>
      <c r="B61" s="88" t="str">
        <f>IFERROR(__xludf.DUMMYFUNCTION("""COMPUTED_VALUE"""),"Crédito no Chip")</f>
        <v>Crédito no Chip</v>
      </c>
      <c r="C61" s="89">
        <f t="array" ref="C61">IFNA(
  LET(
    colaborador, TRIM(C$1),
    tipo, TRIM($B61),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61" s="89">
        <f t="array" ref="D61">IFNA(
  LET(
    colaborador, TRIM(D$1),
    tipo, TRIM($B61),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61" s="89">
        <f t="array" ref="E61">IFNA(
  LET(
    colaborador, TRIM(E$1),
    tipo, TRIM($B61),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61" s="89">
        <f t="array" ref="F61">IFNA(
  LET(
    colaborador, TRIM(F$1),
    tipo, TRIM($B61),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61" s="89">
        <f t="array" ref="G61">IFNA(
  LET(
    colaborador, TRIM(G$1),
    tipo, TRIM($B61),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61" s="89">
        <f t="array" ref="H61">IFNA(
  LET(
    colaborador, TRIM(H$1),
    tipo, TRIM($B61),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61" s="88">
        <f t="array" ref="I61">IFNA(
  LET(
    colaborador, TRIM(I$1),
    tipo, TRIM($B61),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30</v>
      </c>
      <c r="J61" s="88">
        <f t="array" ref="J61">IFNA(
  LET(
    colaborador, TRIM(J$1),
    tipo, TRIM($B61),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61" s="88">
        <f t="array" ref="K61">IFNA(
  LET(
    colaborador, TRIM(K$1),
    tipo, TRIM($B61),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61" s="88">
        <f t="array" ref="L61">IFNA(
  LET(
    colaborador, TRIM(L$1),
    tipo, TRIM($B61),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61" s="88">
        <f t="array" ref="M61">IFNA(
  LET(
    colaborador, TRIM(M$1),
    tipo, TRIM($B61),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61" s="88">
        <f t="array" ref="N61">IFNA(
  LET(
    colaborador, TRIM(N$1),
    tipo, TRIM($B61),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62">
      <c r="A62" s="90" t="s">
        <v>151</v>
      </c>
      <c r="B62" s="88" t="str">
        <f>IFERROR(__xludf.DUMMYFUNCTION("""COMPUTED_VALUE"""),"Compra de Ferramentas de Instalação")</f>
        <v>Compra de Ferramentas de Instalação</v>
      </c>
      <c r="C62" s="89">
        <f t="array" ref="C62">IFNA(
  LET(
    colaborador, TRIM(C$1),
    tipo, TRIM($B62),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62" s="89">
        <f t="array" ref="D62">IFNA(
  LET(
    colaborador, TRIM(D$1),
    tipo, TRIM($B62),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62" s="89">
        <f t="array" ref="E62">IFNA(
  LET(
    colaborador, TRIM(E$1),
    tipo, TRIM($B62),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62" s="89">
        <f t="array" ref="F62">IFNA(
  LET(
    colaborador, TRIM(F$1),
    tipo, TRIM($B62),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62" s="89">
        <f t="array" ref="G62">IFNA(
  LET(
    colaborador, TRIM(G$1),
    tipo, TRIM($B62),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62" s="89">
        <f t="array" ref="H62">IFNA(
  LET(
    colaborador, TRIM(H$1),
    tipo, TRIM($B62),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62" s="88" t="str">
        <f t="array" ref="I62">IFNA(
  LET(
    colaborador, TRIM(I$1),
    tipo, TRIM($B62),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/>
      </c>
      <c r="J62" s="88">
        <f t="array" ref="J62">IFNA(
  LET(
    colaborador, TRIM(J$1),
    tipo, TRIM($B62),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62" s="88">
        <f t="array" ref="K62">IFNA(
  LET(
    colaborador, TRIM(K$1),
    tipo, TRIM($B62),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62" s="88">
        <f t="array" ref="L62">IFNA(
  LET(
    colaborador, TRIM(L$1),
    tipo, TRIM($B62),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62" s="88">
        <f t="array" ref="M62">IFNA(
  LET(
    colaborador, TRIM(M$1),
    tipo, TRIM($B62),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62" s="88">
        <f t="array" ref="N62">IFNA(
  LET(
    colaborador, TRIM(N$1),
    tipo, TRIM($B62),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63">
      <c r="A63" s="90" t="s">
        <v>151</v>
      </c>
      <c r="B63" s="88" t="str">
        <f>IFERROR(__xludf.DUMMYFUNCTION("""COMPUTED_VALUE"""),"Curso Revit 5/12")</f>
        <v>Curso Revit 5/12</v>
      </c>
      <c r="C63" s="89">
        <f t="array" ref="C63">IFNA(
  LET(
    colaborador, TRIM(C$1),
    tipo, TRIM($B63),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63" s="89">
        <f t="array" ref="D63">IFNA(
  LET(
    colaborador, TRIM(D$1),
    tipo, TRIM($B63),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63" s="89">
        <f t="array" ref="E63">IFNA(
  LET(
    colaborador, TRIM(E$1),
    tipo, TRIM($B63),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63" s="89">
        <f t="array" ref="F63">IFNA(
  LET(
    colaborador, TRIM(F$1),
    tipo, TRIM($B63),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63" s="89">
        <f t="array" ref="G63">IFNA(
  LET(
    colaborador, TRIM(G$1),
    tipo, TRIM($B63),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63" s="89">
        <f t="array" ref="H63">IFNA(
  LET(
    colaborador, TRIM(H$1),
    tipo, TRIM($B63),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63" s="88">
        <f t="array" ref="I63">IFNA(
  LET(
    colaborador, TRIM(I$1),
    tipo, TRIM($B63),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63" s="88">
        <f t="array" ref="J63">IFNA(
  LET(
    colaborador, TRIM(J$1),
    tipo, TRIM($B63),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103.11</v>
      </c>
      <c r="K63" s="88">
        <f t="array" ref="K63">IFNA(
  LET(
    colaborador, TRIM(K$1),
    tipo, TRIM($B63),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63" s="88">
        <f t="array" ref="L63">IFNA(
  LET(
    colaborador, TRIM(L$1),
    tipo, TRIM($B63),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63" s="88">
        <f t="array" ref="M63">IFNA(
  LET(
    colaborador, TRIM(M$1),
    tipo, TRIM($B63),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63" s="88">
        <f t="array" ref="N63">IFNA(
  LET(
    colaborador, TRIM(N$1),
    tipo, TRIM($B63),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64">
      <c r="A64" s="90" t="s">
        <v>151</v>
      </c>
      <c r="B64" s="88" t="str">
        <f>IFERROR(__xludf.DUMMYFUNCTION("""COMPUTED_VALUE"""),"Crédito no Chip bot")</f>
        <v>Crédito no Chip bot</v>
      </c>
      <c r="C64" s="89">
        <f t="array" ref="C64">IFNA(
  LET(
    colaborador, TRIM(C$1),
    tipo, TRIM($B64),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64" s="89">
        <f t="array" ref="D64">IFNA(
  LET(
    colaborador, TRIM(D$1),
    tipo, TRIM($B64),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64" s="89">
        <f t="array" ref="E64">IFNA(
  LET(
    colaborador, TRIM(E$1),
    tipo, TRIM($B64),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64" s="89">
        <f t="array" ref="F64">IFNA(
  LET(
    colaborador, TRIM(F$1),
    tipo, TRIM($B64),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64" s="89">
        <f t="array" ref="G64">IFNA(
  LET(
    colaborador, TRIM(G$1),
    tipo, TRIM($B64),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64" s="89">
        <f t="array" ref="H64">IFNA(
  LET(
    colaborador, TRIM(H$1),
    tipo, TRIM($B64),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64" s="88">
        <f t="array" ref="I64">IFNA(
  LET(
    colaborador, TRIM(I$1),
    tipo, TRIM($B64),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64" s="88">
        <f t="array" ref="J64">IFNA(
  LET(
    colaborador, TRIM(J$1),
    tipo, TRIM($B64),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64" s="88">
        <f t="array" ref="K64">IFNA(
  LET(
    colaborador, TRIM(K$1),
    tipo, TRIM($B64),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60</v>
      </c>
      <c r="L64" s="88">
        <f t="array" ref="L64">IFNA(
  LET(
    colaborador, TRIM(L$1),
    tipo, TRIM($B64),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64" s="88">
        <f t="array" ref="M64">IFNA(
  LET(
    colaborador, TRIM(M$1),
    tipo, TRIM($B64),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64" s="88">
        <f t="array" ref="N64">IFNA(
  LET(
    colaborador, TRIM(N$1),
    tipo, TRIM($B64),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65">
      <c r="A65" s="90" t="s">
        <v>151</v>
      </c>
      <c r="B65" s="88" t="str">
        <f>IFERROR(__xludf.DUMMYFUNCTION("""COMPUTED_VALUE"""),"gasolina")</f>
        <v>gasolina</v>
      </c>
      <c r="C65" s="89">
        <f t="array" ref="C65">IFNA(
  LET(
    colaborador, TRIM(C$1),
    tipo, TRIM($B65),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65" s="89">
        <f t="array" ref="D65">IFNA(
  LET(
    colaborador, TRIM(D$1),
    tipo, TRIM($B65),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65" s="89">
        <f t="array" ref="E65">IFNA(
  LET(
    colaborador, TRIM(E$1),
    tipo, TRIM($B65),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65" s="89">
        <f t="array" ref="F65">IFNA(
  LET(
    colaborador, TRIM(F$1),
    tipo, TRIM($B65),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65" s="89">
        <f t="array" ref="G65">IFNA(
  LET(
    colaborador, TRIM(G$1),
    tipo, TRIM($B65),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65" s="89">
        <f t="array" ref="H65">IFNA(
  LET(
    colaborador, TRIM(H$1),
    tipo, TRIM($B65),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65" s="88">
        <f t="array" ref="I65">IFNA(
  LET(
    colaborador, TRIM(I$1),
    tipo, TRIM($B65),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65" s="88">
        <f t="array" ref="J65">IFNA(
  LET(
    colaborador, TRIM(J$1),
    tipo, TRIM($B65),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65" s="88">
        <f t="array" ref="K65">IFNA(
  LET(
    colaborador, TRIM(K$1),
    tipo, TRIM($B65),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65" s="88" t="str">
        <f t="array" ref="L65">IFNA(
  LET(
    colaborador, TRIM(L$1),
    tipo, TRIM($B65),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/>
      </c>
      <c r="M65" s="88">
        <f t="array" ref="M65">IFNA(
  LET(
    colaborador, TRIM(M$1),
    tipo, TRIM($B65),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65" s="88">
        <f t="array" ref="N65">IFNA(
  LET(
    colaborador, TRIM(N$1),
    tipo, TRIM($B65),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66">
      <c r="A66" s="90" t="s">
        <v>151</v>
      </c>
      <c r="B66" s="88" t="str">
        <f>IFERROR(__xludf.DUMMYFUNCTION("""COMPUTED_VALUE"""),"Compras de Material leparc")</f>
        <v>Compras de Material leparc</v>
      </c>
      <c r="C66" s="89">
        <f t="array" ref="C66">IFNA(
  LET(
    colaborador, TRIM(C$1),
    tipo, TRIM($B66),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66" s="89">
        <f t="array" ref="D66">IFNA(
  LET(
    colaborador, TRIM(D$1),
    tipo, TRIM($B66),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66" s="89">
        <f t="array" ref="E66">IFNA(
  LET(
    colaborador, TRIM(E$1),
    tipo, TRIM($B66),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66" s="89">
        <f t="array" ref="F66">IFNA(
  LET(
    colaborador, TRIM(F$1),
    tipo, TRIM($B66),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66" s="89">
        <f t="array" ref="G66">IFNA(
  LET(
    colaborador, TRIM(G$1),
    tipo, TRIM($B66),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66" s="89">
        <f t="array" ref="H66">IFNA(
  LET(
    colaborador, TRIM(H$1),
    tipo, TRIM($B66),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66" s="88">
        <f t="array" ref="I66">IFNA(
  LET(
    colaborador, TRIM(I$1),
    tipo, TRIM($B66),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66" s="88">
        <f t="array" ref="J66">IFNA(
  LET(
    colaborador, TRIM(J$1),
    tipo, TRIM($B66),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66" s="88">
        <f t="array" ref="K66">IFNA(
  LET(
    colaborador, TRIM(K$1),
    tipo, TRIM($B66),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66" s="88">
        <f t="array" ref="L66">IFNA(
  LET(
    colaborador, TRIM(L$1),
    tipo, TRIM($B66),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217.5</v>
      </c>
      <c r="M66" s="88">
        <f t="array" ref="M66">IFNA(
  LET(
    colaborador, TRIM(M$1),
    tipo, TRIM($B66),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66" s="88">
        <f t="array" ref="N66">IFNA(
  LET(
    colaborador, TRIM(N$1),
    tipo, TRIM($B66),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67">
      <c r="A67" s="90" t="s">
        <v>151</v>
      </c>
      <c r="B67" s="88" t="str">
        <f>IFERROR(__xludf.DUMMYFUNCTION("""COMPUTED_VALUE"""),"almoço")</f>
        <v>almoço</v>
      </c>
      <c r="C67" s="89">
        <f t="array" ref="C67">IFNA(
  LET(
    colaborador, TRIM(C$1),
    tipo, TRIM($B67),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67" s="89">
        <f t="array" ref="D67">IFNA(
  LET(
    colaborador, TRIM(D$1),
    tipo, TRIM($B67),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67" s="89">
        <f t="array" ref="E67">IFNA(
  LET(
    colaborador, TRIM(E$1),
    tipo, TRIM($B67),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67" s="89">
        <f t="array" ref="F67">IFNA(
  LET(
    colaborador, TRIM(F$1),
    tipo, TRIM($B67),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67" s="89">
        <f t="array" ref="G67">IFNA(
  LET(
    colaborador, TRIM(G$1),
    tipo, TRIM($B67),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67" s="89">
        <f t="array" ref="H67">IFNA(
  LET(
    colaborador, TRIM(H$1),
    tipo, TRIM($B67),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67" s="88">
        <f t="array" ref="I67">IFNA(
  LET(
    colaborador, TRIM(I$1),
    tipo, TRIM($B67),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67" s="88">
        <f t="array" ref="J67">IFNA(
  LET(
    colaborador, TRIM(J$1),
    tipo, TRIM($B67),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67" s="88">
        <f t="array" ref="K67">IFNA(
  LET(
    colaborador, TRIM(K$1),
    tipo, TRIM($B67),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67" s="88" t="str">
        <f t="array" ref="L67">IFNA(
  LET(
    colaborador, TRIM(L$1),
    tipo, TRIM($B67),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/>
      </c>
      <c r="M67" s="88">
        <f t="array" ref="M67">IFNA(
  LET(
    colaborador, TRIM(M$1),
    tipo, TRIM($B67),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67" s="88">
        <f t="array" ref="N67">IFNA(
  LET(
    colaborador, TRIM(N$1),
    tipo, TRIM($B67),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68">
      <c r="A68" s="90" t="s">
        <v>151</v>
      </c>
      <c r="B68" s="88" t="str">
        <f>IFERROR(__xludf.DUMMYFUNCTION("""COMPUTED_VALUE"""),"Hospedagem")</f>
        <v>Hospedagem</v>
      </c>
      <c r="C68" s="89">
        <f t="array" ref="C68">IFNA(
  LET(
    colaborador, TRIM(C$1),
    tipo, TRIM($B68),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68" s="89">
        <f t="array" ref="D68">IFNA(
  LET(
    colaborador, TRIM(D$1),
    tipo, TRIM($B68),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68" s="89">
        <f t="array" ref="E68">IFNA(
  LET(
    colaborador, TRIM(E$1),
    tipo, TRIM($B68),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68" s="89">
        <f t="array" ref="F68">IFNA(
  LET(
    colaborador, TRIM(F$1),
    tipo, TRIM($B68),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68" s="89">
        <f t="array" ref="G68">IFNA(
  LET(
    colaborador, TRIM(G$1),
    tipo, TRIM($B68),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68" s="89">
        <f t="array" ref="H68">IFNA(
  LET(
    colaborador, TRIM(H$1),
    tipo, TRIM($B68),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68" s="88">
        <f t="array" ref="I68">IFNA(
  LET(
    colaborador, TRIM(I$1),
    tipo, TRIM($B68),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68" s="88">
        <f t="array" ref="J68">IFNA(
  LET(
    colaborador, TRIM(J$1),
    tipo, TRIM($B68),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68" s="88">
        <f t="array" ref="K68">IFNA(
  LET(
    colaborador, TRIM(K$1),
    tipo, TRIM($B68),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68" s="88">
        <f t="array" ref="L68">IFNA(
  LET(
    colaborador, TRIM(L$1),
    tipo, TRIM($B68),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68" s="88">
        <f t="array" ref="M68">IFNA(
  LET(
    colaborador, TRIM(M$1),
    tipo, TRIM($B68),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68" s="88">
        <f t="array" ref="N68">IFNA(
  LET(
    colaborador, TRIM(N$1),
    tipo, TRIM($B68),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69">
      <c r="A69" s="90" t="s">
        <v>151</v>
      </c>
      <c r="B69" s="88" t="str">
        <f>IFERROR(__xludf.DUMMYFUNCTION("""COMPUTED_VALUE"""),"Curso SaaS")</f>
        <v>Curso SaaS</v>
      </c>
      <c r="C69" s="89">
        <f t="array" ref="C69">IFNA(
  LET(
    colaborador, TRIM(C$1),
    tipo, TRIM($B69),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69" s="89">
        <f t="array" ref="D69">IFNA(
  LET(
    colaborador, TRIM(D$1),
    tipo, TRIM($B69),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69" s="89">
        <f t="array" ref="E69">IFNA(
  LET(
    colaborador, TRIM(E$1),
    tipo, TRIM($B69),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69" s="89">
        <f t="array" ref="F69">IFNA(
  LET(
    colaborador, TRIM(F$1),
    tipo, TRIM($B69),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69" s="89">
        <f t="array" ref="G69">IFNA(
  LET(
    colaborador, TRIM(G$1),
    tipo, TRIM($B69),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69" s="89">
        <f t="array" ref="H69">IFNA(
  LET(
    colaborador, TRIM(H$1),
    tipo, TRIM($B69),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69" s="88">
        <f t="array" ref="I69">IFNA(
  LET(
    colaborador, TRIM(I$1),
    tipo, TRIM($B69),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69" s="88">
        <f t="array" ref="J69">IFNA(
  LET(
    colaborador, TRIM(J$1),
    tipo, TRIM($B69),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69" s="88">
        <f t="array" ref="K69">IFNA(
  LET(
    colaborador, TRIM(K$1),
    tipo, TRIM($B69),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69" s="88">
        <f t="array" ref="L69">IFNA(
  LET(
    colaborador, TRIM(L$1),
    tipo, TRIM($B69),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69" s="88">
        <f t="array" ref="M69">IFNA(
  LET(
    colaborador, TRIM(M$1),
    tipo, TRIM($B69),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69" s="88">
        <f t="array" ref="N69">IFNA(
  LET(
    colaborador, TRIM(N$1),
    tipo, TRIM($B69),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</row>
    <row r="70">
      <c r="A70" s="90" t="s">
        <v>151</v>
      </c>
      <c r="B70" s="88" t="str">
        <f>IFERROR(__xludf.DUMMYFUNCTION("""COMPUTED_VALUE"""),"Brindes funcionários")</f>
        <v>Brindes funcionários</v>
      </c>
      <c r="C70" s="89">
        <f t="array" ref="C70">IFNA(
  LET(
    colaborador, TRIM(C$1),
    tipo, TRIM($B70),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D70" s="89">
        <f t="array" ref="D70">IFNA(
  LET(
    colaborador, TRIM(D$1),
    tipo, TRIM($B70),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E70" s="89">
        <f t="array" ref="E70">IFNA(
  LET(
    colaborador, TRIM(E$1),
    tipo, TRIM($B70),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F70" s="89">
        <f t="array" ref="F70">IFNA(
  LET(
    colaborador, TRIM(F$1),
    tipo, TRIM($B70),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G70" s="89">
        <f t="array" ref="G70">IFNA(
  LET(
    colaborador, TRIM(G$1),
    tipo, TRIM($B70),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H70" s="89">
        <f t="array" ref="H70">IFNA(
  LET(
    colaborador, TRIM(H$1),
    tipo, TRIM($B70),
    linhaColab, MATCH(colaborador, Fevereiro26!$B:$B, 0),
    linhaTotal, MATCH("Total", INDEX(Fevereiro26!$B:$B, linhaColab+1):Fevereiro26!$B:$B, 0) + linhaColab,
    faixaTipos, INDEX(Fevereiro26!$B:$B, linhaColab+2):INDEX(Fevereiro26!$B:$B, linhaTotal-1),
    faixaValores, INDEX(Fevereiro26!$C:$C, linhaColab+2):INDEX(Fevereiro26!$C:$C, linhaTotal-1),
    INDEX(
      faixaValores,
      MATCH(TRUE, LOWER(TRIM(faixaTipos))=LOWER(tipo), 0)
    )
  ),
  0
)</f>
        <v>0</v>
      </c>
      <c r="I70" s="88">
        <f t="array" ref="I70">IFNA(
  LET(
    colaborador, TRIM(I$1),
    tipo, TRIM($B70),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J70" s="88">
        <f t="array" ref="J70">IFNA(
  LET(
    colaborador, TRIM(J$1),
    tipo, TRIM($B70),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K70" s="88">
        <f t="array" ref="K70">IFNA(
  LET(
    colaborador, TRIM(K$1),
    tipo, TRIM($B70),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L70" s="88">
        <f t="array" ref="L70">IFNA(
  LET(
    colaborador, TRIM(L$1),
    tipo, TRIM($B70),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M70" s="88">
        <f t="array" ref="M70">IFNA(
  LET(
    colaborador, TRIM(M$1),
    tipo, TRIM($B70),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>0</v>
      </c>
      <c r="N70" s="88" t="str">
        <f t="array" ref="N70">IFNA(
  LET(
    colaborador, TRIM(N$1),
    tipo, TRIM($B70),
    linhaColab, MATCH(colaborador, Fevereiro26!$F:$F, 0),
    linhaTotal, MATCH("Total", INDEX(Fevereiro26!$F:$F, linhaColab+1):Fevereiro26!$F:$F, 0) + linhaColab,
    faixaTipos, INDEX(Fevereiro26!$F:$F, linhaColab+2):INDEX(Fevereiro26!$F:$F, linhaTotal-1),
    faixaValores, INDEX(Fevereiro26!$G:$G, linhaColab+2):INDEX(Fevereiro26!$G:$G, linhaTotal-1),
    INDEX(
      faixaValores,
      MATCH(TRUE, LOWER(TRIM(faixaTipos))=LOWER(tipo), 0)
    )
  ),
  0
)</f>
        <v/>
      </c>
    </row>
    <row r="71">
      <c r="A71" s="92" t="s">
        <v>151</v>
      </c>
      <c r="B71" s="92" t="s">
        <v>150</v>
      </c>
      <c r="C71" s="93">
        <f t="shared" ref="C71:N71" si="2">SUM(C39:C70)</f>
        <v>1982.6</v>
      </c>
      <c r="D71" s="93">
        <f t="shared" si="2"/>
        <v>595.31</v>
      </c>
      <c r="E71" s="93">
        <f t="shared" si="2"/>
        <v>99.7</v>
      </c>
      <c r="F71" s="93">
        <f t="shared" si="2"/>
        <v>765.61</v>
      </c>
      <c r="G71" s="93">
        <f t="shared" si="2"/>
        <v>320.52</v>
      </c>
      <c r="H71" s="93">
        <f t="shared" si="2"/>
        <v>456.9</v>
      </c>
      <c r="I71" s="93">
        <f t="shared" si="2"/>
        <v>30</v>
      </c>
      <c r="J71" s="93">
        <f t="shared" si="2"/>
        <v>596.7</v>
      </c>
      <c r="K71" s="93">
        <f t="shared" si="2"/>
        <v>260.26</v>
      </c>
      <c r="L71" s="93">
        <f t="shared" si="2"/>
        <v>309.71</v>
      </c>
      <c r="M71" s="93">
        <f t="shared" si="2"/>
        <v>125.83</v>
      </c>
      <c r="N71" s="93">
        <f t="shared" si="2"/>
        <v>0</v>
      </c>
    </row>
    <row r="72">
      <c r="A72" s="90" t="s">
        <v>152</v>
      </c>
      <c r="B72" s="88" t="str">
        <f>IFERROR(__xludf.DUMMYFUNCTION("UNIQUE(
  VSTACK(
    FILTER(
      'Março26'!B1:B1027,
      'Março26'!B1:B1027&lt;&gt;"""",
      SCAN(
        0,
        'Março26'!B1:B1027,
        LAMBDA(acc,x, acc + N(LOWER(TRIM(x))=""tipo"") - N(LOWER(TRIM(x))=""total""))
      )&gt;0,
      LOWER(TRIM('M"&amp;"arço26'!B1:B1027))&lt;&gt;""tipo""
    ),
    FILTER(
      'Março26'!F1:F988,
      'Março26'!F1:F988&lt;&gt;"""",
      SCAN(
        0,
        'Março26'!F1:F988,
        LAMBDA(acc,x, acc + N(LOWER(TRIM(x))=""tipo"") - N(LOWER(TRIM(x))=""total""))
      )&gt;0,
    "&amp;"  LOWER(TRIM('Março26'!F1:F988))&lt;&gt;""tipo""
    )
  )
)"),"Transporte")</f>
        <v>Transporte</v>
      </c>
      <c r="C72" s="89">
        <f t="array" ref="C72">IFNA(
  LET(
    colaborador, TRIM(C$1),
    tipo, TRIM($B72),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728.96</v>
      </c>
      <c r="D72" s="89">
        <f t="array" ref="D72">IFNA(
  LET(
    colaborador, TRIM(D$1),
    tipo, TRIM($B72),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72" s="89">
        <f t="array" ref="E72">IFNA(
  LET(
    colaborador, TRIM(E$1),
    tipo, TRIM($B72),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72" s="89">
        <f t="array" ref="F72">IFNA(
  LET(
    colaborador, TRIM(F$1),
    tipo, TRIM($B72),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72" s="89">
        <f t="array" ref="G72">IFNA(
  LET(
    colaborador, TRIM(G$1),
    tipo, TRIM($B72),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129.14</v>
      </c>
      <c r="H72" s="89">
        <f t="array" ref="H72">IFNA(
  LET(
    colaborador, TRIM(H$1),
    tipo, TRIM($B72),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72" s="88">
        <f t="array" ref="I72">IFNA(
  LET(
    colaborador, TRIM(I$1),
    tipo, TRIM($B72),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36.6</v>
      </c>
      <c r="J72" s="88" t="str">
        <f t="array" ref="J72">IFNA(
  LET(
    colaborador, TRIM(J$1),
    tipo, TRIM($B72),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/>
      </c>
      <c r="K72" s="88">
        <f t="array" ref="K72">IFNA(
  LET(
    colaborador, TRIM(K$1),
    tipo, TRIM($B72),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250.8</v>
      </c>
      <c r="L72" s="88">
        <f t="array" ref="L72">IFNA(
  LET(
    colaborador, TRIM(L$1),
    tipo, TRIM($B72),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297.84</v>
      </c>
      <c r="M72" s="88">
        <f t="array" ref="M72">IFNA(
  LET(
    colaborador, TRIM(M$1),
    tipo, TRIM($B72),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134.17</v>
      </c>
      <c r="N72" s="88">
        <f t="array" ref="N72">IFNA(
  LET(
    colaborador, TRIM(N$1),
    tipo, TRIM($B72),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73">
      <c r="A73" s="90" t="s">
        <v>152</v>
      </c>
      <c r="B73" s="88" t="str">
        <f>IFERROR(__xludf.DUMMYFUNCTION("""COMPUTED_VALUE"""),"Alimentação")</f>
        <v>Alimentação</v>
      </c>
      <c r="C73" s="89">
        <f t="array" ref="C73">IFNA(
  LET(
    colaborador, TRIM(C$1),
    tipo, TRIM($B73),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410.72</v>
      </c>
      <c r="D73" s="89" t="str">
        <f t="array" ref="D73">IFNA(
  LET(
    colaborador, TRIM(D$1),
    tipo, TRIM($B73),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/>
      </c>
      <c r="E73" s="89">
        <f t="array" ref="E73">IFNA(
  LET(
    colaborador, TRIM(E$1),
    tipo, TRIM($B73),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73" s="89">
        <f t="array" ref="F73">IFNA(
  LET(
    colaborador, TRIM(F$1),
    tipo, TRIM($B73),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73" s="89" t="str">
        <f t="array" ref="G73">IFNA(
  LET(
    colaborador, TRIM(G$1),
    tipo, TRIM($B73),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/>
      </c>
      <c r="H73" s="89" t="str">
        <f t="array" ref="H73">IFNA(
  LET(
    colaborador, TRIM(H$1),
    tipo, TRIM($B73),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/>
      </c>
      <c r="I73" s="88" t="str">
        <f t="array" ref="I73">IFNA(
  LET(
    colaborador, TRIM(I$1),
    tipo, TRIM($B73),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/>
      </c>
      <c r="J73" s="88">
        <f t="array" ref="J73">IFNA(
  LET(
    colaborador, TRIM(J$1),
    tipo, TRIM($B73),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73" s="88" t="str">
        <f t="array" ref="K73">IFNA(
  LET(
    colaborador, TRIM(K$1),
    tipo, TRIM($B73),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/>
      </c>
      <c r="L73" s="88">
        <f t="array" ref="L73">IFNA(
  LET(
    colaborador, TRIM(L$1),
    tipo, TRIM($B73),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73" s="88">
        <f t="array" ref="M73">IFNA(
  LET(
    colaborador, TRIM(M$1),
    tipo, TRIM($B73),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73" s="88">
        <f t="array" ref="N73">IFNA(
  LET(
    colaborador, TRIM(N$1),
    tipo, TRIM($B73),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74">
      <c r="A74" s="90" t="s">
        <v>152</v>
      </c>
      <c r="B74" s="88" t="str">
        <f>IFERROR(__xludf.DUMMYFUNCTION("""COMPUTED_VALUE"""),"Almoço com Cliente")</f>
        <v>Almoço com Cliente</v>
      </c>
      <c r="C74" s="89">
        <f t="array" ref="C74">IFNA(
  LET(
    colaborador, TRIM(C$1),
    tipo, TRIM($B74),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74</v>
      </c>
      <c r="D74" s="89">
        <f t="array" ref="D74">IFNA(
  LET(
    colaborador, TRIM(D$1),
    tipo, TRIM($B74),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74" s="89">
        <f t="array" ref="E74">IFNA(
  LET(
    colaborador, TRIM(E$1),
    tipo, TRIM($B74),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74" s="89">
        <f t="array" ref="F74">IFNA(
  LET(
    colaborador, TRIM(F$1),
    tipo, TRIM($B74),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74" s="89">
        <f t="array" ref="G74">IFNA(
  LET(
    colaborador, TRIM(G$1),
    tipo, TRIM($B74),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74" s="89">
        <f t="array" ref="H74">IFNA(
  LET(
    colaborador, TRIM(H$1),
    tipo, TRIM($B74),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74" s="88">
        <f t="array" ref="I74">IFNA(
  LET(
    colaborador, TRIM(I$1),
    tipo, TRIM($B74),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74" s="88">
        <f t="array" ref="J74">IFNA(
  LET(
    colaborador, TRIM(J$1),
    tipo, TRIM($B74),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74" s="88">
        <f t="array" ref="K74">IFNA(
  LET(
    colaborador, TRIM(K$1),
    tipo, TRIM($B74),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74" s="88">
        <f t="array" ref="L74">IFNA(
  LET(
    colaborador, TRIM(L$1),
    tipo, TRIM($B74),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74" s="88">
        <f t="array" ref="M74">IFNA(
  LET(
    colaborador, TRIM(M$1),
    tipo, TRIM($B74),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74" s="88">
        <f t="array" ref="N74">IFNA(
  LET(
    colaborador, TRIM(N$1),
    tipo, TRIM($B74),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75">
      <c r="A75" s="90" t="s">
        <v>152</v>
      </c>
      <c r="B75" s="88" t="str">
        <f>IFERROR(__xludf.DUMMYFUNCTION("""COMPUTED_VALUE"""),"Compra do Pc Biel 4/6")</f>
        <v>Compra do Pc Biel 4/6</v>
      </c>
      <c r="C75" s="89">
        <f t="array" ref="C75">IFNA(
  LET(
    colaborador, TRIM(C$1),
    tipo, TRIM($B75),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379</v>
      </c>
      <c r="D75" s="89">
        <f t="array" ref="D75">IFNA(
  LET(
    colaborador, TRIM(D$1),
    tipo, TRIM($B75),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75" s="89">
        <f t="array" ref="E75">IFNA(
  LET(
    colaborador, TRIM(E$1),
    tipo, TRIM($B75),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75" s="89">
        <f t="array" ref="F75">IFNA(
  LET(
    colaborador, TRIM(F$1),
    tipo, TRIM($B75),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75" s="89">
        <f t="array" ref="G75">IFNA(
  LET(
    colaborador, TRIM(G$1),
    tipo, TRIM($B75),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75" s="89">
        <f t="array" ref="H75">IFNA(
  LET(
    colaborador, TRIM(H$1),
    tipo, TRIM($B75),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75" s="88">
        <f t="array" ref="I75">IFNA(
  LET(
    colaborador, TRIM(I$1),
    tipo, TRIM($B75),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75" s="88">
        <f t="array" ref="J75">IFNA(
  LET(
    colaborador, TRIM(J$1),
    tipo, TRIM($B75),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75" s="88">
        <f t="array" ref="K75">IFNA(
  LET(
    colaborador, TRIM(K$1),
    tipo, TRIM($B75),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75" s="88">
        <f t="array" ref="L75">IFNA(
  LET(
    colaborador, TRIM(L$1),
    tipo, TRIM($B75),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75" s="88">
        <f t="array" ref="M75">IFNA(
  LET(
    colaborador, TRIM(M$1),
    tipo, TRIM($B75),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75" s="88">
        <f t="array" ref="N75">IFNA(
  LET(
    colaborador, TRIM(N$1),
    tipo, TRIM($B75),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76">
      <c r="A76" s="90" t="s">
        <v>152</v>
      </c>
      <c r="B76" s="88" t="str">
        <f>IFERROR(__xludf.DUMMYFUNCTION("""COMPUTED_VALUE"""),"Bomba de Água + Brinde obras")</f>
        <v>Bomba de Água + Brinde obras</v>
      </c>
      <c r="C76" s="89">
        <f t="array" ref="C76">IFNA(
  LET(
    colaborador, TRIM(C$1),
    tipo, TRIM($B76),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261.6</v>
      </c>
      <c r="D76" s="89">
        <f t="array" ref="D76">IFNA(
  LET(
    colaborador, TRIM(D$1),
    tipo, TRIM($B76),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76" s="89">
        <f t="array" ref="E76">IFNA(
  LET(
    colaborador, TRIM(E$1),
    tipo, TRIM($B76),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76" s="89">
        <f t="array" ref="F76">IFNA(
  LET(
    colaborador, TRIM(F$1),
    tipo, TRIM($B76),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76" s="89">
        <f t="array" ref="G76">IFNA(
  LET(
    colaborador, TRIM(G$1),
    tipo, TRIM($B76),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76" s="89">
        <f t="array" ref="H76">IFNA(
  LET(
    colaborador, TRIM(H$1),
    tipo, TRIM($B76),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76" s="88">
        <f t="array" ref="I76">IFNA(
  LET(
    colaborador, TRIM(I$1),
    tipo, TRIM($B76),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76" s="88">
        <f t="array" ref="J76">IFNA(
  LET(
    colaborador, TRIM(J$1),
    tipo, TRIM($B76),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76" s="88">
        <f t="array" ref="K76">IFNA(
  LET(
    colaborador, TRIM(K$1),
    tipo, TRIM($B76),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76" s="88">
        <f t="array" ref="L76">IFNA(
  LET(
    colaborador, TRIM(L$1),
    tipo, TRIM($B76),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76" s="88">
        <f t="array" ref="M76">IFNA(
  LET(
    colaborador, TRIM(M$1),
    tipo, TRIM($B76),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76" s="88">
        <f t="array" ref="N76">IFNA(
  LET(
    colaborador, TRIM(N$1),
    tipo, TRIM($B76),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77">
      <c r="A77" s="90" t="s">
        <v>152</v>
      </c>
      <c r="B77" s="88" t="str">
        <f>IFERROR(__xludf.DUMMYFUNCTION("""COMPUTED_VALUE"""),"Transporte/Manutenção")</f>
        <v>Transporte/Manutenção</v>
      </c>
      <c r="C77" s="89">
        <f t="array" ref="C77">IFNA(
  LET(
    colaborador, TRIM(C$1),
    tipo, TRIM($B77),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77" s="89">
        <f t="array" ref="D77">IFNA(
  LET(
    colaborador, TRIM(D$1),
    tipo, TRIM($B77),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210.97</v>
      </c>
      <c r="E77" s="89">
        <f t="array" ref="E77">IFNA(
  LET(
    colaborador, TRIM(E$1),
    tipo, TRIM($B77),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77" s="89" t="str">
        <f t="array" ref="F77">IFNA(
  LET(
    colaborador, TRIM(F$1),
    tipo, TRIM($B77),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/>
      </c>
      <c r="G77" s="89">
        <f t="array" ref="G77">IFNA(
  LET(
    colaborador, TRIM(G$1),
    tipo, TRIM($B77),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77" s="89">
        <f t="array" ref="H77">IFNA(
  LET(
    colaborador, TRIM(H$1),
    tipo, TRIM($B77),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77" s="88">
        <f t="array" ref="I77">IFNA(
  LET(
    colaborador, TRIM(I$1),
    tipo, TRIM($B77),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77" s="88">
        <f t="array" ref="J77">IFNA(
  LET(
    colaborador, TRIM(J$1),
    tipo, TRIM($B77),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77" s="88">
        <f t="array" ref="K77">IFNA(
  LET(
    colaborador, TRIM(K$1),
    tipo, TRIM($B77),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77" s="88">
        <f t="array" ref="L77">IFNA(
  LET(
    colaborador, TRIM(L$1),
    tipo, TRIM($B77),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77" s="88">
        <f t="array" ref="M77">IFNA(
  LET(
    colaborador, TRIM(M$1),
    tipo, TRIM($B77),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77" s="88">
        <f t="array" ref="N77">IFNA(
  LET(
    colaborador, TRIM(N$1),
    tipo, TRIM($B77),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78">
      <c r="A78" s="90" t="s">
        <v>152</v>
      </c>
      <c r="B78" s="88" t="str">
        <f>IFERROR(__xludf.DUMMYFUNCTION("""COMPUTED_VALUE"""),"Plano telefone + Internet chip xpe")</f>
        <v>Plano telefone + Internet chip xpe</v>
      </c>
      <c r="C78" s="89">
        <f t="array" ref="C78">IFNA(
  LET(
    colaborador, TRIM(C$1),
    tipo, TRIM($B78),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78" s="89">
        <f t="array" ref="D78">IFNA(
  LET(
    colaborador, TRIM(D$1),
    tipo, TRIM($B78),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88.88</v>
      </c>
      <c r="E78" s="89">
        <f t="array" ref="E78">IFNA(
  LET(
    colaborador, TRIM(E$1),
    tipo, TRIM($B78),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78" s="89">
        <f t="array" ref="F78">IFNA(
  LET(
    colaborador, TRIM(F$1),
    tipo, TRIM($B78),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78" s="89">
        <f t="array" ref="G78">IFNA(
  LET(
    colaborador, TRIM(G$1),
    tipo, TRIM($B78),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78" s="89">
        <f t="array" ref="H78">IFNA(
  LET(
    colaborador, TRIM(H$1),
    tipo, TRIM($B78),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78" s="88">
        <f t="array" ref="I78">IFNA(
  LET(
    colaborador, TRIM(I$1),
    tipo, TRIM($B78),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78" s="88">
        <f t="array" ref="J78">IFNA(
  LET(
    colaborador, TRIM(J$1),
    tipo, TRIM($B78),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78" s="88">
        <f t="array" ref="K78">IFNA(
  LET(
    colaborador, TRIM(K$1),
    tipo, TRIM($B78),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78" s="88">
        <f t="array" ref="L78">IFNA(
  LET(
    colaborador, TRIM(L$1),
    tipo, TRIM($B78),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78" s="88">
        <f t="array" ref="M78">IFNA(
  LET(
    colaborador, TRIM(M$1),
    tipo, TRIM($B78),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78" s="88">
        <f t="array" ref="N78">IFNA(
  LET(
    colaborador, TRIM(N$1),
    tipo, TRIM($B78),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79">
      <c r="A79" s="90" t="s">
        <v>152</v>
      </c>
      <c r="B79" s="88" t="str">
        <f>IFERROR(__xludf.DUMMYFUNCTION("""COMPUTED_VALUE"""),"Cadeiras + Microfone 5/14")</f>
        <v>Cadeiras + Microfone 5/14</v>
      </c>
      <c r="C79" s="89">
        <f t="array" ref="C79">IFNA(
  LET(
    colaborador, TRIM(C$1),
    tipo, TRIM($B79),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79" s="89">
        <f t="array" ref="D79">IFNA(
  LET(
    colaborador, TRIM(D$1),
    tipo, TRIM($B79),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221.44</v>
      </c>
      <c r="E79" s="89">
        <f t="array" ref="E79">IFNA(
  LET(
    colaborador, TRIM(E$1),
    tipo, TRIM($B79),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79" s="89">
        <f t="array" ref="F79">IFNA(
  LET(
    colaborador, TRIM(F$1),
    tipo, TRIM($B79),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79" s="89">
        <f t="array" ref="G79">IFNA(
  LET(
    colaborador, TRIM(G$1),
    tipo, TRIM($B79),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79" s="89">
        <f t="array" ref="H79">IFNA(
  LET(
    colaborador, TRIM(H$1),
    tipo, TRIM($B79),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79" s="88">
        <f t="array" ref="I79">IFNA(
  LET(
    colaborador, TRIM(I$1),
    tipo, TRIM($B79),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79" s="88">
        <f t="array" ref="J79">IFNA(
  LET(
    colaborador, TRIM(J$1),
    tipo, TRIM($B79),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79" s="88">
        <f t="array" ref="K79">IFNA(
  LET(
    colaborador, TRIM(K$1),
    tipo, TRIM($B79),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79" s="88">
        <f t="array" ref="L79">IFNA(
  LET(
    colaborador, TRIM(L$1),
    tipo, TRIM($B79),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79" s="88">
        <f t="array" ref="M79">IFNA(
  LET(
    colaborador, TRIM(M$1),
    tipo, TRIM($B79),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79" s="88">
        <f t="array" ref="N79">IFNA(
  LET(
    colaborador, TRIM(N$1),
    tipo, TRIM($B79),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80">
      <c r="A80" s="90" t="s">
        <v>152</v>
      </c>
      <c r="B80" s="88" t="str">
        <f>IFERROR(__xludf.DUMMYFUNCTION("""COMPUTED_VALUE"""),"Impressora 3D 3/12")</f>
        <v>Impressora 3D 3/12</v>
      </c>
      <c r="C80" s="89">
        <f t="array" ref="C80">IFNA(
  LET(
    colaborador, TRIM(C$1),
    tipo, TRIM($B80),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80" s="89">
        <f t="array" ref="D80">IFNA(
  LET(
    colaborador, TRIM(D$1),
    tipo, TRIM($B80),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284.91</v>
      </c>
      <c r="E80" s="89">
        <f t="array" ref="E80">IFNA(
  LET(
    colaborador, TRIM(E$1),
    tipo, TRIM($B80),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80" s="89">
        <f t="array" ref="F80">IFNA(
  LET(
    colaborador, TRIM(F$1),
    tipo, TRIM($B80),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80" s="89">
        <f t="array" ref="G80">IFNA(
  LET(
    colaborador, TRIM(G$1),
    tipo, TRIM($B80),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80" s="89">
        <f t="array" ref="H80">IFNA(
  LET(
    colaborador, TRIM(H$1),
    tipo, TRIM($B80),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80" s="88">
        <f t="array" ref="I80">IFNA(
  LET(
    colaborador, TRIM(I$1),
    tipo, TRIM($B80),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80" s="88">
        <f t="array" ref="J80">IFNA(
  LET(
    colaborador, TRIM(J$1),
    tipo, TRIM($B80),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80" s="88">
        <f t="array" ref="K80">IFNA(
  LET(
    colaborador, TRIM(K$1),
    tipo, TRIM($B80),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80" s="88">
        <f t="array" ref="L80">IFNA(
  LET(
    colaborador, TRIM(L$1),
    tipo, TRIM($B80),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80" s="88">
        <f t="array" ref="M80">IFNA(
  LET(
    colaborador, TRIM(M$1),
    tipo, TRIM($B80),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80" s="88">
        <f t="array" ref="N80">IFNA(
  LET(
    colaborador, TRIM(N$1),
    tipo, TRIM($B80),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81">
      <c r="A81" s="90" t="s">
        <v>152</v>
      </c>
      <c r="B81" s="88" t="str">
        <f>IFERROR(__xludf.DUMMYFUNCTION("""COMPUTED_VALUE"""),"Combustível")</f>
        <v>Combustível</v>
      </c>
      <c r="C81" s="89">
        <f t="array" ref="C81">IFNA(
  LET(
    colaborador, TRIM(C$1),
    tipo, TRIM($B81),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81" s="89">
        <f t="array" ref="D81">IFNA(
  LET(
    colaborador, TRIM(D$1),
    tipo, TRIM($B81),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81" s="89">
        <f t="array" ref="E81">IFNA(
  LET(
    colaborador, TRIM(E$1),
    tipo, TRIM($B81),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40</v>
      </c>
      <c r="F81" s="89">
        <f t="array" ref="F81">IFNA(
  LET(
    colaborador, TRIM(F$1),
    tipo, TRIM($B81),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81" s="89">
        <f t="array" ref="G81">IFNA(
  LET(
    colaborador, TRIM(G$1),
    tipo, TRIM($B81),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81" s="89">
        <f t="array" ref="H81">IFNA(
  LET(
    colaborador, TRIM(H$1),
    tipo, TRIM($B81),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81" s="88">
        <f t="array" ref="I81">IFNA(
  LET(
    colaborador, TRIM(I$1),
    tipo, TRIM($B81),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81" s="88">
        <f t="array" ref="J81">IFNA(
  LET(
    colaborador, TRIM(J$1),
    tipo, TRIM($B81),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81" s="88">
        <f t="array" ref="K81">IFNA(
  LET(
    colaborador, TRIM(K$1),
    tipo, TRIM($B81),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81" s="88">
        <f t="array" ref="L81">IFNA(
  LET(
    colaborador, TRIM(L$1),
    tipo, TRIM($B81),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81" s="88">
        <f t="array" ref="M81">IFNA(
  LET(
    colaborador, TRIM(M$1),
    tipo, TRIM($B81),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81" s="88">
        <f t="array" ref="N81">IFNA(
  LET(
    colaborador, TRIM(N$1),
    tipo, TRIM($B81),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82">
      <c r="A82" s="90" t="s">
        <v>152</v>
      </c>
      <c r="B82" s="88" t="str">
        <f>IFERROR(__xludf.DUMMYFUNCTION("""COMPUTED_VALUE"""),"Alimentação Visitas")</f>
        <v>Alimentação Visitas</v>
      </c>
      <c r="C82" s="89">
        <f t="array" ref="C82">IFNA(
  LET(
    colaborador, TRIM(C$1),
    tipo, TRIM($B82),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82" s="89">
        <f t="array" ref="D82">IFNA(
  LET(
    colaborador, TRIM(D$1),
    tipo, TRIM($B82),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82" s="89" t="str">
        <f t="array" ref="E82">IFNA(
  LET(
    colaborador, TRIM(E$1),
    tipo, TRIM($B82),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/>
      </c>
      <c r="F82" s="89">
        <f t="array" ref="F82">IFNA(
  LET(
    colaborador, TRIM(F$1),
    tipo, TRIM($B82),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82" s="89">
        <f t="array" ref="G82">IFNA(
  LET(
    colaborador, TRIM(G$1),
    tipo, TRIM($B82),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82" s="89">
        <f t="array" ref="H82">IFNA(
  LET(
    colaborador, TRIM(H$1),
    tipo, TRIM($B82),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82" s="88">
        <f t="array" ref="I82">IFNA(
  LET(
    colaborador, TRIM(I$1),
    tipo, TRIM($B82),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82" s="88">
        <f t="array" ref="J82">IFNA(
  LET(
    colaborador, TRIM(J$1),
    tipo, TRIM($B82),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82" s="88">
        <f t="array" ref="K82">IFNA(
  LET(
    colaborador, TRIM(K$1),
    tipo, TRIM($B82),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82" s="88">
        <f t="array" ref="L82">IFNA(
  LET(
    colaborador, TRIM(L$1),
    tipo, TRIM($B82),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82" s="88">
        <f t="array" ref="M82">IFNA(
  LET(
    colaborador, TRIM(M$1),
    tipo, TRIM($B82),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82" s="88">
        <f t="array" ref="N82">IFNA(
  LET(
    colaborador, TRIM(N$1),
    tipo, TRIM($B82),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83">
      <c r="A83" s="90" t="s">
        <v>152</v>
      </c>
      <c r="B83" s="88" t="str">
        <f>IFERROR(__xludf.DUMMYFUNCTION("""COMPUTED_VALUE"""),"Uber Fev.")</f>
        <v>Uber Fev.</v>
      </c>
      <c r="C83" s="89">
        <f t="array" ref="C83">IFNA(
  LET(
    colaborador, TRIM(C$1),
    tipo, TRIM($B83),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83" s="89">
        <f t="array" ref="D83">IFNA(
  LET(
    colaborador, TRIM(D$1),
    tipo, TRIM($B83),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83" s="89">
        <f t="array" ref="E83">IFNA(
  LET(
    colaborador, TRIM(E$1),
    tipo, TRIM($B83),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461.42</v>
      </c>
      <c r="F83" s="89">
        <f t="array" ref="F83">IFNA(
  LET(
    colaborador, TRIM(F$1),
    tipo, TRIM($B83),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83" s="89">
        <f t="array" ref="G83">IFNA(
  LET(
    colaborador, TRIM(G$1),
    tipo, TRIM($B83),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83" s="89">
        <f t="array" ref="H83">IFNA(
  LET(
    colaborador, TRIM(H$1),
    tipo, TRIM($B83),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83" s="88">
        <f t="array" ref="I83">IFNA(
  LET(
    colaborador, TRIM(I$1),
    tipo, TRIM($B83),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83" s="88">
        <f t="array" ref="J83">IFNA(
  LET(
    colaborador, TRIM(J$1),
    tipo, TRIM($B83),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83" s="88">
        <f t="array" ref="K83">IFNA(
  LET(
    colaborador, TRIM(K$1),
    tipo, TRIM($B83),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83" s="88">
        <f t="array" ref="L83">IFNA(
  LET(
    colaborador, TRIM(L$1),
    tipo, TRIM($B83),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83" s="88">
        <f t="array" ref="M83">IFNA(
  LET(
    colaborador, TRIM(M$1),
    tipo, TRIM($B83),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83" s="88">
        <f t="array" ref="N83">IFNA(
  LET(
    colaborador, TRIM(N$1),
    tipo, TRIM($B83),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84">
      <c r="A84" s="90" t="s">
        <v>152</v>
      </c>
      <c r="B84" s="88" t="str">
        <f>IFERROR(__xludf.DUMMYFUNCTION("""COMPUTED_VALUE"""),"Uber Mar.")</f>
        <v>Uber Mar.</v>
      </c>
      <c r="C84" s="89">
        <f t="array" ref="C84">IFNA(
  LET(
    colaborador, TRIM(C$1),
    tipo, TRIM($B84),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84" s="89">
        <f t="array" ref="D84">IFNA(
  LET(
    colaborador, TRIM(D$1),
    tipo, TRIM($B84),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84" s="89">
        <f t="array" ref="E84">IFNA(
  LET(
    colaborador, TRIM(E$1),
    tipo, TRIM($B84),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254.77</v>
      </c>
      <c r="F84" s="89">
        <f t="array" ref="F84">IFNA(
  LET(
    colaborador, TRIM(F$1),
    tipo, TRIM($B84),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84" s="89">
        <f t="array" ref="G84">IFNA(
  LET(
    colaborador, TRIM(G$1),
    tipo, TRIM($B84),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84" s="89">
        <f t="array" ref="H84">IFNA(
  LET(
    colaborador, TRIM(H$1),
    tipo, TRIM($B84),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84" s="88">
        <f t="array" ref="I84">IFNA(
  LET(
    colaborador, TRIM(I$1),
    tipo, TRIM($B84),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84" s="88">
        <f t="array" ref="J84">IFNA(
  LET(
    colaborador, TRIM(J$1),
    tipo, TRIM($B84),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84" s="88">
        <f t="array" ref="K84">IFNA(
  LET(
    colaborador, TRIM(K$1),
    tipo, TRIM($B84),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84" s="88">
        <f t="array" ref="L84">IFNA(
  LET(
    colaborador, TRIM(L$1),
    tipo, TRIM($B84),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84" s="88">
        <f t="array" ref="M84">IFNA(
  LET(
    colaborador, TRIM(M$1),
    tipo, TRIM($B84),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84" s="88">
        <f t="array" ref="N84">IFNA(
  LET(
    colaborador, TRIM(N$1),
    tipo, TRIM($B84),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85">
      <c r="A85" s="90" t="s">
        <v>152</v>
      </c>
      <c r="B85" s="88" t="str">
        <f>IFERROR(__xludf.DUMMYFUNCTION("""COMPUTED_VALUE"""),"Curso MUC 12/12")</f>
        <v>Curso MUC 12/12</v>
      </c>
      <c r="C85" s="89">
        <f t="array" ref="C85">IFNA(
  LET(
    colaborador, TRIM(C$1),
    tipo, TRIM($B85),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85" s="89">
        <f t="array" ref="D85">IFNA(
  LET(
    colaborador, TRIM(D$1),
    tipo, TRIM($B85),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85" s="89">
        <f t="array" ref="E85">IFNA(
  LET(
    colaborador, TRIM(E$1),
    tipo, TRIM($B85),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99.7</v>
      </c>
      <c r="F85" s="89">
        <f t="array" ref="F85">IFNA(
  LET(
    colaborador, TRIM(F$1),
    tipo, TRIM($B85),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85" s="89">
        <f t="array" ref="G85">IFNA(
  LET(
    colaborador, TRIM(G$1),
    tipo, TRIM($B85),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85" s="89">
        <f t="array" ref="H85">IFNA(
  LET(
    colaborador, TRIM(H$1),
    tipo, TRIM($B85),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85" s="88">
        <f t="array" ref="I85">IFNA(
  LET(
    colaborador, TRIM(I$1),
    tipo, TRIM($B85),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85" s="88">
        <f t="array" ref="J85">IFNA(
  LET(
    colaborador, TRIM(J$1),
    tipo, TRIM($B85),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85" s="88">
        <f t="array" ref="K85">IFNA(
  LET(
    colaborador, TRIM(K$1),
    tipo, TRIM($B85),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85" s="88">
        <f t="array" ref="L85">IFNA(
  LET(
    colaborador, TRIM(L$1),
    tipo, TRIM($B85),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85" s="88">
        <f t="array" ref="M85">IFNA(
  LET(
    colaborador, TRIM(M$1),
    tipo, TRIM($B85),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85" s="88">
        <f t="array" ref="N85">IFNA(
  LET(
    colaborador, TRIM(N$1),
    tipo, TRIM($B85),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86">
      <c r="A86" s="90" t="s">
        <v>152</v>
      </c>
      <c r="B86" s="88" t="str">
        <f>IFERROR(__xludf.DUMMYFUNCTION("""COMPUTED_VALUE"""),"ART")</f>
        <v>ART</v>
      </c>
      <c r="C86" s="89">
        <f t="array" ref="C86">IFNA(
  LET(
    colaborador, TRIM(C$1),
    tipo, TRIM($B86),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86" s="89">
        <f t="array" ref="D86">IFNA(
  LET(
    colaborador, TRIM(D$1),
    tipo, TRIM($B86),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86" s="89" t="str">
        <f t="array" ref="E86">IFNA(
  LET(
    colaborador, TRIM(E$1),
    tipo, TRIM($B86),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/>
      </c>
      <c r="F86" s="89">
        <f t="array" ref="F86">IFNA(
  LET(
    colaborador, TRIM(F$1),
    tipo, TRIM($B86),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86" s="89">
        <f t="array" ref="G86">IFNA(
  LET(
    colaborador, TRIM(G$1),
    tipo, TRIM($B86),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86" s="89">
        <f t="array" ref="H86">IFNA(
  LET(
    colaborador, TRIM(H$1),
    tipo, TRIM($B86),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86" s="88">
        <f t="array" ref="I86">IFNA(
  LET(
    colaborador, TRIM(I$1),
    tipo, TRIM($B86),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86" s="88">
        <f t="array" ref="J86">IFNA(
  LET(
    colaborador, TRIM(J$1),
    tipo, TRIM($B86),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86" s="88">
        <f t="array" ref="K86">IFNA(
  LET(
    colaborador, TRIM(K$1),
    tipo, TRIM($B86),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86" s="88">
        <f t="array" ref="L86">IFNA(
  LET(
    colaborador, TRIM(L$1),
    tipo, TRIM($B86),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86" s="88">
        <f t="array" ref="M86">IFNA(
  LET(
    colaborador, TRIM(M$1),
    tipo, TRIM($B86),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86" s="88">
        <f t="array" ref="N86">IFNA(
  LET(
    colaborador, TRIM(N$1),
    tipo, TRIM($B86),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87">
      <c r="A87" s="90" t="s">
        <v>152</v>
      </c>
      <c r="B87" s="88" t="str">
        <f>IFERROR(__xludf.DUMMYFUNCTION("""COMPUTED_VALUE"""),"Antropic")</f>
        <v>Antropic</v>
      </c>
      <c r="C87" s="89">
        <f t="array" ref="C87">IFNA(
  LET(
    colaborador, TRIM(C$1),
    tipo, TRIM($B87),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87" s="89">
        <f t="array" ref="D87">IFNA(
  LET(
    colaborador, TRIM(D$1),
    tipo, TRIM($B87),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87" s="89">
        <f t="array" ref="E87">IFNA(
  LET(
    colaborador, TRIM(E$1),
    tipo, TRIM($B87),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87" s="89">
        <f t="array" ref="F87">IFNA(
  LET(
    colaborador, TRIM(F$1),
    tipo, TRIM($B87),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280.74</v>
      </c>
      <c r="G87" s="89">
        <f t="array" ref="G87">IFNA(
  LET(
    colaborador, TRIM(G$1),
    tipo, TRIM($B87),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87" s="89">
        <f t="array" ref="H87">IFNA(
  LET(
    colaborador, TRIM(H$1),
    tipo, TRIM($B87),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87" s="88">
        <f t="array" ref="I87">IFNA(
  LET(
    colaborador, TRIM(I$1),
    tipo, TRIM($B87),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87" s="88">
        <f t="array" ref="J87">IFNA(
  LET(
    colaborador, TRIM(J$1),
    tipo, TRIM($B87),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87" s="88">
        <f t="array" ref="K87">IFNA(
  LET(
    colaborador, TRIM(K$1),
    tipo, TRIM($B87),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87" s="88">
        <f t="array" ref="L87">IFNA(
  LET(
    colaborador, TRIM(L$1),
    tipo, TRIM($B87),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87" s="88">
        <f t="array" ref="M87">IFNA(
  LET(
    colaborador, TRIM(M$1),
    tipo, TRIM($B87),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87" s="88">
        <f t="array" ref="N87">IFNA(
  LET(
    colaborador, TRIM(N$1),
    tipo, TRIM($B87),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88">
      <c r="A88" s="90" t="s">
        <v>152</v>
      </c>
      <c r="B88" s="88" t="str">
        <f>IFERROR(__xludf.DUMMYFUNCTION("""COMPUTED_VALUE"""),"Google Drive")</f>
        <v>Google Drive</v>
      </c>
      <c r="C88" s="89">
        <f t="array" ref="C88">IFNA(
  LET(
    colaborador, TRIM(C$1),
    tipo, TRIM($B88),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88" s="89">
        <f t="array" ref="D88">IFNA(
  LET(
    colaborador, TRIM(D$1),
    tipo, TRIM($B88),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88" s="89">
        <f t="array" ref="E88">IFNA(
  LET(
    colaborador, TRIM(E$1),
    tipo, TRIM($B88),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88" s="89">
        <f t="array" ref="F88">IFNA(
  LET(
    colaborador, TRIM(F$1),
    tipo, TRIM($B88),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4.5</v>
      </c>
      <c r="G88" s="89">
        <f t="array" ref="G88">IFNA(
  LET(
    colaborador, TRIM(G$1),
    tipo, TRIM($B88),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88" s="89">
        <f t="array" ref="H88">IFNA(
  LET(
    colaborador, TRIM(H$1),
    tipo, TRIM($B88),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88" s="88">
        <f t="array" ref="I88">IFNA(
  LET(
    colaborador, TRIM(I$1),
    tipo, TRIM($B88),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88" s="88">
        <f t="array" ref="J88">IFNA(
  LET(
    colaborador, TRIM(J$1),
    tipo, TRIM($B88),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88" s="88">
        <f t="array" ref="K88">IFNA(
  LET(
    colaborador, TRIM(K$1),
    tipo, TRIM($B88),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88" s="88">
        <f t="array" ref="L88">IFNA(
  LET(
    colaborador, TRIM(L$1),
    tipo, TRIM($B88),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88" s="88">
        <f t="array" ref="M88">IFNA(
  LET(
    colaborador, TRIM(M$1),
    tipo, TRIM($B88),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88" s="88">
        <f t="array" ref="N88">IFNA(
  LET(
    colaborador, TRIM(N$1),
    tipo, TRIM($B88),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89">
      <c r="A89" s="90" t="s">
        <v>152</v>
      </c>
      <c r="B89" s="88" t="str">
        <f>IFERROR(__xludf.DUMMYFUNCTION("""COMPUTED_VALUE"""),"Ar Cond 4/12")</f>
        <v>Ar Cond 4/12</v>
      </c>
      <c r="C89" s="89">
        <f t="array" ref="C89">IFNA(
  LET(
    colaborador, TRIM(C$1),
    tipo, TRIM($B89),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89" s="89">
        <f t="array" ref="D89">IFNA(
  LET(
    colaborador, TRIM(D$1),
    tipo, TRIM($B89),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89" s="89">
        <f t="array" ref="E89">IFNA(
  LET(
    colaborador, TRIM(E$1),
    tipo, TRIM($B89),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89" s="89">
        <f t="array" ref="F89">IFNA(
  LET(
    colaborador, TRIM(F$1),
    tipo, TRIM($B89),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324.95</v>
      </c>
      <c r="G89" s="89">
        <f t="array" ref="G89">IFNA(
  LET(
    colaborador, TRIM(G$1),
    tipo, TRIM($B89),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89" s="89">
        <f t="array" ref="H89">IFNA(
  LET(
    colaborador, TRIM(H$1),
    tipo, TRIM($B89),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89" s="88">
        <f t="array" ref="I89">IFNA(
  LET(
    colaborador, TRIM(I$1),
    tipo, TRIM($B89),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89" s="88">
        <f t="array" ref="J89">IFNA(
  LET(
    colaborador, TRIM(J$1),
    tipo, TRIM($B89),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89" s="88">
        <f t="array" ref="K89">IFNA(
  LET(
    colaborador, TRIM(K$1),
    tipo, TRIM($B89),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89" s="88">
        <f t="array" ref="L89">IFNA(
  LET(
    colaborador, TRIM(L$1),
    tipo, TRIM($B89),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89" s="88">
        <f t="array" ref="M89">IFNA(
  LET(
    colaborador, TRIM(M$1),
    tipo, TRIM($B89),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89" s="88">
        <f t="array" ref="N89">IFNA(
  LET(
    colaborador, TRIM(N$1),
    tipo, TRIM($B89),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90">
      <c r="A90" s="90" t="s">
        <v>152</v>
      </c>
      <c r="B90" s="88" t="str">
        <f>IFERROR(__xludf.DUMMYFUNCTION("""COMPUTED_VALUE"""),"Monitores 4/12")</f>
        <v>Monitores 4/12</v>
      </c>
      <c r="C90" s="89">
        <f t="array" ref="C90">IFNA(
  LET(
    colaborador, TRIM(C$1),
    tipo, TRIM($B90),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90" s="89">
        <f t="array" ref="D90">IFNA(
  LET(
    colaborador, TRIM(D$1),
    tipo, TRIM($B90),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90" s="89">
        <f t="array" ref="E90">IFNA(
  LET(
    colaborador, TRIM(E$1),
    tipo, TRIM($B90),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90" s="89">
        <f t="array" ref="F90">IFNA(
  LET(
    colaborador, TRIM(F$1),
    tipo, TRIM($B90),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144.5</v>
      </c>
      <c r="G90" s="89">
        <f t="array" ref="G90">IFNA(
  LET(
    colaborador, TRIM(G$1),
    tipo, TRIM($B90),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90" s="89">
        <f t="array" ref="H90">IFNA(
  LET(
    colaborador, TRIM(H$1),
    tipo, TRIM($B90),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90" s="88">
        <f t="array" ref="I90">IFNA(
  LET(
    colaborador, TRIM(I$1),
    tipo, TRIM($B90),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90" s="88">
        <f t="array" ref="J90">IFNA(
  LET(
    colaborador, TRIM(J$1),
    tipo, TRIM($B90),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90" s="88">
        <f t="array" ref="K90">IFNA(
  LET(
    colaborador, TRIM(K$1),
    tipo, TRIM($B90),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90" s="88">
        <f t="array" ref="L90">IFNA(
  LET(
    colaborador, TRIM(L$1),
    tipo, TRIM($B90),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90" s="88">
        <f t="array" ref="M90">IFNA(
  LET(
    colaborador, TRIM(M$1),
    tipo, TRIM($B90),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90" s="88">
        <f t="array" ref="N90">IFNA(
  LET(
    colaborador, TRIM(N$1),
    tipo, TRIM($B90),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91">
      <c r="A91" s="90" t="s">
        <v>152</v>
      </c>
      <c r="B91" s="88" t="str">
        <f>IFERROR(__xludf.DUMMYFUNCTION("""COMPUTED_VALUE"""),"Notebooks part 2 - 9/24")</f>
        <v>Notebooks part 2 - 9/24</v>
      </c>
      <c r="C91" s="89">
        <f t="array" ref="C91">IFNA(
  LET(
    colaborador, TRIM(C$1),
    tipo, TRIM($B91),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91" s="89">
        <f t="array" ref="D91">IFNA(
  LET(
    colaborador, TRIM(D$1),
    tipo, TRIM($B91),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91" s="89">
        <f t="array" ref="E91">IFNA(
  LET(
    colaborador, TRIM(E$1),
    tipo, TRIM($B91),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91" s="89">
        <f t="array" ref="F91">IFNA(
  LET(
    colaborador, TRIM(F$1),
    tipo, TRIM($B91),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291.66</v>
      </c>
      <c r="G91" s="89">
        <f t="array" ref="G91">IFNA(
  LET(
    colaborador, TRIM(G$1),
    tipo, TRIM($B91),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91" s="89">
        <f t="array" ref="H91">IFNA(
  LET(
    colaborador, TRIM(H$1),
    tipo, TRIM($B91),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91" s="88">
        <f t="array" ref="I91">IFNA(
  LET(
    colaborador, TRIM(I$1),
    tipo, TRIM($B91),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91" s="88">
        <f t="array" ref="J91">IFNA(
  LET(
    colaborador, TRIM(J$1),
    tipo, TRIM($B91),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91" s="88">
        <f t="array" ref="K91">IFNA(
  LET(
    colaborador, TRIM(K$1),
    tipo, TRIM($B91),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91" s="88">
        <f t="array" ref="L91">IFNA(
  LET(
    colaborador, TRIM(L$1),
    tipo, TRIM($B91),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91" s="88">
        <f t="array" ref="M91">IFNA(
  LET(
    colaborador, TRIM(M$1),
    tipo, TRIM($B91),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91" s="88">
        <f t="array" ref="N91">IFNA(
  LET(
    colaborador, TRIM(N$1),
    tipo, TRIM($B91),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92">
      <c r="A92" s="90" t="s">
        <v>152</v>
      </c>
      <c r="B92" s="88" t="str">
        <f>IFERROR(__xludf.DUMMYFUNCTION("""COMPUTED_VALUE"""),"Gás de cozinha")</f>
        <v>Gás de cozinha</v>
      </c>
      <c r="C92" s="89">
        <f t="array" ref="C92">IFNA(
  LET(
    colaborador, TRIM(C$1),
    tipo, TRIM($B92),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92" s="89">
        <f t="array" ref="D92">IFNA(
  LET(
    colaborador, TRIM(D$1),
    tipo, TRIM($B92),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92" s="89">
        <f t="array" ref="E92">IFNA(
  LET(
    colaborador, TRIM(E$1),
    tipo, TRIM($B92),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92" s="89">
        <f t="array" ref="F92">IFNA(
  LET(
    colaborador, TRIM(F$1),
    tipo, TRIM($B92),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92" s="89" t="str">
        <f t="array" ref="G92">IFNA(
  LET(
    colaborador, TRIM(G$1),
    tipo, TRIM($B92),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/>
      </c>
      <c r="H92" s="89">
        <f t="array" ref="H92">IFNA(
  LET(
    colaborador, TRIM(H$1),
    tipo, TRIM($B92),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92" s="88">
        <f t="array" ref="I92">IFNA(
  LET(
    colaborador, TRIM(I$1),
    tipo, TRIM($B92),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92" s="88">
        <f t="array" ref="J92">IFNA(
  LET(
    colaborador, TRIM(J$1),
    tipo, TRIM($B92),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92" s="88">
        <f t="array" ref="K92">IFNA(
  LET(
    colaborador, TRIM(K$1),
    tipo, TRIM($B92),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92" s="88">
        <f t="array" ref="L92">IFNA(
  LET(
    colaborador, TRIM(L$1),
    tipo, TRIM($B92),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92" s="88">
        <f t="array" ref="M92">IFNA(
  LET(
    colaborador, TRIM(M$1),
    tipo, TRIM($B92),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92" s="88">
        <f t="array" ref="N92">IFNA(
  LET(
    colaborador, TRIM(N$1),
    tipo, TRIM($B92),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93">
      <c r="A93" s="90" t="s">
        <v>152</v>
      </c>
      <c r="B93" s="88" t="str">
        <f>IFERROR(__xludf.DUMMYFUNCTION("""COMPUTED_VALUE"""),"recarga chip")</f>
        <v>recarga chip</v>
      </c>
      <c r="C93" s="89">
        <f t="array" ref="C93">IFNA(
  LET(
    colaborador, TRIM(C$1),
    tipo, TRIM($B93),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93" s="89">
        <f t="array" ref="D93">IFNA(
  LET(
    colaborador, TRIM(D$1),
    tipo, TRIM($B93),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93" s="89">
        <f t="array" ref="E93">IFNA(
  LET(
    colaborador, TRIM(E$1),
    tipo, TRIM($B93),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93" s="89">
        <f t="array" ref="F93">IFNA(
  LET(
    colaborador, TRIM(F$1),
    tipo, TRIM($B93),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93" s="89" t="str">
        <f t="array" ref="G93">IFNA(
  LET(
    colaborador, TRIM(G$1),
    tipo, TRIM($B93),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/>
      </c>
      <c r="H93" s="89">
        <f t="array" ref="H93">IFNA(
  LET(
    colaborador, TRIM(H$1),
    tipo, TRIM($B93),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93" s="88">
        <f t="array" ref="I93">IFNA(
  LET(
    colaborador, TRIM(I$1),
    tipo, TRIM($B93),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93" s="88">
        <f t="array" ref="J93">IFNA(
  LET(
    colaborador, TRIM(J$1),
    tipo, TRIM($B93),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93" s="88">
        <f t="array" ref="K93">IFNA(
  LET(
    colaborador, TRIM(K$1),
    tipo, TRIM($B93),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93" s="88">
        <f t="array" ref="L93">IFNA(
  LET(
    colaborador, TRIM(L$1),
    tipo, TRIM($B93),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93" s="88">
        <f t="array" ref="M93">IFNA(
  LET(
    colaborador, TRIM(M$1),
    tipo, TRIM($B93),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93" s="88">
        <f t="array" ref="N93">IFNA(
  LET(
    colaborador, TRIM(N$1),
    tipo, TRIM($B93),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94">
      <c r="A94" s="90" t="s">
        <v>152</v>
      </c>
      <c r="B94" s="88" t="str">
        <f>IFERROR(__xludf.DUMMYFUNCTION("""COMPUTED_VALUE"""),"Transporte/gasolina")</f>
        <v>Transporte/gasolina</v>
      </c>
      <c r="C94" s="89">
        <f t="array" ref="C94">IFNA(
  LET(
    colaborador, TRIM(C$1),
    tipo, TRIM($B94),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94" s="89">
        <f t="array" ref="D94">IFNA(
  LET(
    colaborador, TRIM(D$1),
    tipo, TRIM($B94),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94" s="89">
        <f t="array" ref="E94">IFNA(
  LET(
    colaborador, TRIM(E$1),
    tipo, TRIM($B94),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94" s="89">
        <f t="array" ref="F94">IFNA(
  LET(
    colaborador, TRIM(F$1),
    tipo, TRIM($B94),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94" s="89">
        <f t="array" ref="G94">IFNA(
  LET(
    colaborador, TRIM(G$1),
    tipo, TRIM($B94),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94" s="89">
        <f t="array" ref="H94">IFNA(
  LET(
    colaborador, TRIM(H$1),
    tipo, TRIM($B94),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540</v>
      </c>
      <c r="I94" s="88">
        <f t="array" ref="I94">IFNA(
  LET(
    colaborador, TRIM(I$1),
    tipo, TRIM($B94),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94" s="88">
        <f t="array" ref="J94">IFNA(
  LET(
    colaborador, TRIM(J$1),
    tipo, TRIM($B94),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94" s="88">
        <f t="array" ref="K94">IFNA(
  LET(
    colaborador, TRIM(K$1),
    tipo, TRIM($B94),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94" s="88">
        <f t="array" ref="L94">IFNA(
  LET(
    colaborador, TRIM(L$1),
    tipo, TRIM($B94),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94" s="88">
        <f t="array" ref="M94">IFNA(
  LET(
    colaborador, TRIM(M$1),
    tipo, TRIM($B94),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94" s="88">
        <f t="array" ref="N94">IFNA(
  LET(
    colaborador, TRIM(N$1),
    tipo, TRIM($B94),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95">
      <c r="A95" s="90" t="s">
        <v>152</v>
      </c>
      <c r="B95" s="88" t="str">
        <f>IFERROR(__xludf.DUMMYFUNCTION("""COMPUTED_VALUE"""),"Crédito no Chip")</f>
        <v>Crédito no Chip</v>
      </c>
      <c r="C95" s="89">
        <f t="array" ref="C95">IFNA(
  LET(
    colaborador, TRIM(C$1),
    tipo, TRIM($B95),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95" s="89">
        <f t="array" ref="D95">IFNA(
  LET(
    colaborador, TRIM(D$1),
    tipo, TRIM($B95),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95" s="89">
        <f t="array" ref="E95">IFNA(
  LET(
    colaborador, TRIM(E$1),
    tipo, TRIM($B95),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95" s="89">
        <f t="array" ref="F95">IFNA(
  LET(
    colaborador, TRIM(F$1),
    tipo, TRIM($B95),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95" s="89">
        <f t="array" ref="G95">IFNA(
  LET(
    colaborador, TRIM(G$1),
    tipo, TRIM($B95),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95" s="89">
        <f t="array" ref="H95">IFNA(
  LET(
    colaborador, TRIM(H$1),
    tipo, TRIM($B95),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95" s="88">
        <f t="array" ref="I95">IFNA(
  LET(
    colaborador, TRIM(I$1),
    tipo, TRIM($B95),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30</v>
      </c>
      <c r="J95" s="88">
        <f t="array" ref="J95">IFNA(
  LET(
    colaborador, TRIM(J$1),
    tipo, TRIM($B95),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95" s="88">
        <f t="array" ref="K95">IFNA(
  LET(
    colaborador, TRIM(K$1),
    tipo, TRIM($B95),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95" s="88">
        <f t="array" ref="L95">IFNA(
  LET(
    colaborador, TRIM(L$1),
    tipo, TRIM($B95),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95" s="88">
        <f t="array" ref="M95">IFNA(
  LET(
    colaborador, TRIM(M$1),
    tipo, TRIM($B95),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95" s="88">
        <f t="array" ref="N95">IFNA(
  LET(
    colaborador, TRIM(N$1),
    tipo, TRIM($B95),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96">
      <c r="A96" s="90" t="s">
        <v>152</v>
      </c>
      <c r="B96" s="88" t="str">
        <f>IFERROR(__xludf.DUMMYFUNCTION("""COMPUTED_VALUE"""),"Compra de Ferramentas de Instalação")</f>
        <v>Compra de Ferramentas de Instalação</v>
      </c>
      <c r="C96" s="89">
        <f t="array" ref="C96">IFNA(
  LET(
    colaborador, TRIM(C$1),
    tipo, TRIM($B96),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96" s="89">
        <f t="array" ref="D96">IFNA(
  LET(
    colaborador, TRIM(D$1),
    tipo, TRIM($B96),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96" s="89">
        <f t="array" ref="E96">IFNA(
  LET(
    colaborador, TRIM(E$1),
    tipo, TRIM($B96),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96" s="89">
        <f t="array" ref="F96">IFNA(
  LET(
    colaborador, TRIM(F$1),
    tipo, TRIM($B96),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96" s="89">
        <f t="array" ref="G96">IFNA(
  LET(
    colaborador, TRIM(G$1),
    tipo, TRIM($B96),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96" s="89">
        <f t="array" ref="H96">IFNA(
  LET(
    colaborador, TRIM(H$1),
    tipo, TRIM($B96),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96" s="88" t="str">
        <f t="array" ref="I96">IFNA(
  LET(
    colaborador, TRIM(I$1),
    tipo, TRIM($B96),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/>
      </c>
      <c r="J96" s="88">
        <f t="array" ref="J96">IFNA(
  LET(
    colaborador, TRIM(J$1),
    tipo, TRIM($B96),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96" s="88">
        <f t="array" ref="K96">IFNA(
  LET(
    colaborador, TRIM(K$1),
    tipo, TRIM($B96),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96" s="88">
        <f t="array" ref="L96">IFNA(
  LET(
    colaborador, TRIM(L$1),
    tipo, TRIM($B96),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96" s="88">
        <f t="array" ref="M96">IFNA(
  LET(
    colaborador, TRIM(M$1),
    tipo, TRIM($B96),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96" s="88">
        <f t="array" ref="N96">IFNA(
  LET(
    colaborador, TRIM(N$1),
    tipo, TRIM($B96),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97">
      <c r="A97" s="90" t="s">
        <v>152</v>
      </c>
      <c r="B97" s="88" t="str">
        <f>IFERROR(__xludf.DUMMYFUNCTION("""COMPUTED_VALUE"""),"Curso Revit 6/12")</f>
        <v>Curso Revit 6/12</v>
      </c>
      <c r="C97" s="89">
        <f t="array" ref="C97">IFNA(
  LET(
    colaborador, TRIM(C$1),
    tipo, TRIM($B97),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97" s="89">
        <f t="array" ref="D97">IFNA(
  LET(
    colaborador, TRIM(D$1),
    tipo, TRIM($B97),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97" s="89">
        <f t="array" ref="E97">IFNA(
  LET(
    colaborador, TRIM(E$1),
    tipo, TRIM($B97),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97" s="89">
        <f t="array" ref="F97">IFNA(
  LET(
    colaborador, TRIM(F$1),
    tipo, TRIM($B97),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97" s="89">
        <f t="array" ref="G97">IFNA(
  LET(
    colaborador, TRIM(G$1),
    tipo, TRIM($B97),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97" s="89">
        <f t="array" ref="H97">IFNA(
  LET(
    colaborador, TRIM(H$1),
    tipo, TRIM($B97),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97" s="88">
        <f t="array" ref="I97">IFNA(
  LET(
    colaborador, TRIM(I$1),
    tipo, TRIM($B97),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97" s="88">
        <f t="array" ref="J97">IFNA(
  LET(
    colaborador, TRIM(J$1),
    tipo, TRIM($B97),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103.11</v>
      </c>
      <c r="K97" s="88">
        <f t="array" ref="K97">IFNA(
  LET(
    colaborador, TRIM(K$1),
    tipo, TRIM($B97),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97" s="88">
        <f t="array" ref="L97">IFNA(
  LET(
    colaborador, TRIM(L$1),
    tipo, TRIM($B97),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97" s="88">
        <f t="array" ref="M97">IFNA(
  LET(
    colaborador, TRIM(M$1),
    tipo, TRIM($B97),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97" s="88">
        <f t="array" ref="N97">IFNA(
  LET(
    colaborador, TRIM(N$1),
    tipo, TRIM($B97),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98">
      <c r="A98" s="90" t="s">
        <v>152</v>
      </c>
      <c r="B98" s="88" t="str">
        <f>IFERROR(__xludf.DUMMYFUNCTION("""COMPUTED_VALUE"""),"Crédito no Chip bot")</f>
        <v>Crédito no Chip bot</v>
      </c>
      <c r="C98" s="89">
        <f t="array" ref="C98">IFNA(
  LET(
    colaborador, TRIM(C$1),
    tipo, TRIM($B98),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98" s="89">
        <f t="array" ref="D98">IFNA(
  LET(
    colaborador, TRIM(D$1),
    tipo, TRIM($B98),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98" s="89">
        <f t="array" ref="E98">IFNA(
  LET(
    colaborador, TRIM(E$1),
    tipo, TRIM($B98),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98" s="89">
        <f t="array" ref="F98">IFNA(
  LET(
    colaborador, TRIM(F$1),
    tipo, TRIM($B98),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98" s="89">
        <f t="array" ref="G98">IFNA(
  LET(
    colaborador, TRIM(G$1),
    tipo, TRIM($B98),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98" s="89">
        <f t="array" ref="H98">IFNA(
  LET(
    colaborador, TRIM(H$1),
    tipo, TRIM($B98),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98" s="88">
        <f t="array" ref="I98">IFNA(
  LET(
    colaborador, TRIM(I$1),
    tipo, TRIM($B98),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98" s="88">
        <f t="array" ref="J98">IFNA(
  LET(
    colaborador, TRIM(J$1),
    tipo, TRIM($B98),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98" s="88">
        <f t="array" ref="K98">IFNA(
  LET(
    colaborador, TRIM(K$1),
    tipo, TRIM($B98),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60</v>
      </c>
      <c r="L98" s="88">
        <f t="array" ref="L98">IFNA(
  LET(
    colaborador, TRIM(L$1),
    tipo, TRIM($B98),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98" s="88">
        <f t="array" ref="M98">IFNA(
  LET(
    colaborador, TRIM(M$1),
    tipo, TRIM($B98),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98" s="88">
        <f t="array" ref="N98">IFNA(
  LET(
    colaborador, TRIM(N$1),
    tipo, TRIM($B98),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99">
      <c r="A99" s="90" t="s">
        <v>152</v>
      </c>
      <c r="B99" s="88" t="str">
        <f>IFERROR(__xludf.DUMMYFUNCTION("""COMPUTED_VALUE"""),"gasolina")</f>
        <v>gasolina</v>
      </c>
      <c r="C99" s="89">
        <f t="array" ref="C99">IFNA(
  LET(
    colaborador, TRIM(C$1),
    tipo, TRIM($B99),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99" s="89">
        <f t="array" ref="D99">IFNA(
  LET(
    colaborador, TRIM(D$1),
    tipo, TRIM($B99),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99" s="89">
        <f t="array" ref="E99">IFNA(
  LET(
    colaborador, TRIM(E$1),
    tipo, TRIM($B99),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99" s="89">
        <f t="array" ref="F99">IFNA(
  LET(
    colaborador, TRIM(F$1),
    tipo, TRIM($B99),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99" s="89">
        <f t="array" ref="G99">IFNA(
  LET(
    colaborador, TRIM(G$1),
    tipo, TRIM($B99),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99" s="89">
        <f t="array" ref="H99">IFNA(
  LET(
    colaborador, TRIM(H$1),
    tipo, TRIM($B99),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99" s="88">
        <f t="array" ref="I99">IFNA(
  LET(
    colaborador, TRIM(I$1),
    tipo, TRIM($B99),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99" s="88">
        <f t="array" ref="J99">IFNA(
  LET(
    colaborador, TRIM(J$1),
    tipo, TRIM($B99),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99" s="88">
        <f t="array" ref="K99">IFNA(
  LET(
    colaborador, TRIM(K$1),
    tipo, TRIM($B99),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99" s="88" t="str">
        <f t="array" ref="L99">IFNA(
  LET(
    colaborador, TRIM(L$1),
    tipo, TRIM($B99),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/>
      </c>
      <c r="M99" s="88">
        <f t="array" ref="M99">IFNA(
  LET(
    colaborador, TRIM(M$1),
    tipo, TRIM($B99),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99" s="88">
        <f t="array" ref="N99">IFNA(
  LET(
    colaborador, TRIM(N$1),
    tipo, TRIM($B99),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100">
      <c r="A100" s="90" t="s">
        <v>152</v>
      </c>
      <c r="B100" s="88" t="str">
        <f>IFERROR(__xludf.DUMMYFUNCTION("""COMPUTED_VALUE"""),"Compras de Material leparc")</f>
        <v>Compras de Material leparc</v>
      </c>
      <c r="C100" s="89">
        <f t="array" ref="C100">IFNA(
  LET(
    colaborador, TRIM(C$1),
    tipo, TRIM($B100),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100" s="89">
        <f t="array" ref="D100">IFNA(
  LET(
    colaborador, TRIM(D$1),
    tipo, TRIM($B100),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100" s="89">
        <f t="array" ref="E100">IFNA(
  LET(
    colaborador, TRIM(E$1),
    tipo, TRIM($B100),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100" s="89">
        <f t="array" ref="F100">IFNA(
  LET(
    colaborador, TRIM(F$1),
    tipo, TRIM($B100),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100" s="89">
        <f t="array" ref="G100">IFNA(
  LET(
    colaborador, TRIM(G$1),
    tipo, TRIM($B100),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100" s="89">
        <f t="array" ref="H100">IFNA(
  LET(
    colaborador, TRIM(H$1),
    tipo, TRIM($B100),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100" s="88">
        <f t="array" ref="I100">IFNA(
  LET(
    colaborador, TRIM(I$1),
    tipo, TRIM($B100),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100" s="88">
        <f t="array" ref="J100">IFNA(
  LET(
    colaborador, TRIM(J$1),
    tipo, TRIM($B100),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100" s="88">
        <f t="array" ref="K100">IFNA(
  LET(
    colaborador, TRIM(K$1),
    tipo, TRIM($B100),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100" s="88" t="str">
        <f t="array" ref="L100">IFNA(
  LET(
    colaborador, TRIM(L$1),
    tipo, TRIM($B100),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/>
      </c>
      <c r="M100" s="88">
        <f t="array" ref="M100">IFNA(
  LET(
    colaborador, TRIM(M$1),
    tipo, TRIM($B100),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100" s="88">
        <f t="array" ref="N100">IFNA(
  LET(
    colaborador, TRIM(N$1),
    tipo, TRIM($B100),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101">
      <c r="A101" s="90" t="s">
        <v>152</v>
      </c>
      <c r="B101" s="88" t="str">
        <f>IFERROR(__xludf.DUMMYFUNCTION("""COMPUTED_VALUE"""),"almoço")</f>
        <v>almoço</v>
      </c>
      <c r="C101" s="89">
        <f t="array" ref="C101">IFNA(
  LET(
    colaborador, TRIM(C$1),
    tipo, TRIM($B101),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101" s="89">
        <f t="array" ref="D101">IFNA(
  LET(
    colaborador, TRIM(D$1),
    tipo, TRIM($B101),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101" s="89">
        <f t="array" ref="E101">IFNA(
  LET(
    colaborador, TRIM(E$1),
    tipo, TRIM($B101),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101" s="89">
        <f t="array" ref="F101">IFNA(
  LET(
    colaborador, TRIM(F$1),
    tipo, TRIM($B101),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101" s="89">
        <f t="array" ref="G101">IFNA(
  LET(
    colaborador, TRIM(G$1),
    tipo, TRIM($B101),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101" s="89">
        <f t="array" ref="H101">IFNA(
  LET(
    colaborador, TRIM(H$1),
    tipo, TRIM($B101),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101" s="88">
        <f t="array" ref="I101">IFNA(
  LET(
    colaborador, TRIM(I$1),
    tipo, TRIM($B101),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101" s="88">
        <f t="array" ref="J101">IFNA(
  LET(
    colaborador, TRIM(J$1),
    tipo, TRIM($B101),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101" s="88">
        <f t="array" ref="K101">IFNA(
  LET(
    colaborador, TRIM(K$1),
    tipo, TRIM($B101),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101" s="88" t="str">
        <f t="array" ref="L101">IFNA(
  LET(
    colaborador, TRIM(L$1),
    tipo, TRIM($B101),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/>
      </c>
      <c r="M101" s="88">
        <f t="array" ref="M101">IFNA(
  LET(
    colaborador, TRIM(M$1),
    tipo, TRIM($B101),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101" s="88">
        <f t="array" ref="N101">IFNA(
  LET(
    colaborador, TRIM(N$1),
    tipo, TRIM($B101),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102">
      <c r="A102" s="90" t="s">
        <v>152</v>
      </c>
      <c r="B102" s="88" t="str">
        <f>IFERROR(__xludf.DUMMYFUNCTION("""COMPUTED_VALUE"""),"Hospedagem")</f>
        <v>Hospedagem</v>
      </c>
      <c r="C102" s="89">
        <f t="array" ref="C102">IFNA(
  LET(
    colaborador, TRIM(C$1),
    tipo, TRIM($B102),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102" s="89">
        <f t="array" ref="D102">IFNA(
  LET(
    colaborador, TRIM(D$1),
    tipo, TRIM($B102),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102" s="89">
        <f t="array" ref="E102">IFNA(
  LET(
    colaborador, TRIM(E$1),
    tipo, TRIM($B102),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102" s="89">
        <f t="array" ref="F102">IFNA(
  LET(
    colaborador, TRIM(F$1),
    tipo, TRIM($B102),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102" s="89">
        <f t="array" ref="G102">IFNA(
  LET(
    colaborador, TRIM(G$1),
    tipo, TRIM($B102),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102" s="89">
        <f t="array" ref="H102">IFNA(
  LET(
    colaborador, TRIM(H$1),
    tipo, TRIM($B102),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102" s="88">
        <f t="array" ref="I102">IFNA(
  LET(
    colaborador, TRIM(I$1),
    tipo, TRIM($B102),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102" s="88">
        <f t="array" ref="J102">IFNA(
  LET(
    colaborador, TRIM(J$1),
    tipo, TRIM($B102),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102" s="88">
        <f t="array" ref="K102">IFNA(
  LET(
    colaborador, TRIM(K$1),
    tipo, TRIM($B102),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102" s="88">
        <f t="array" ref="L102">IFNA(
  LET(
    colaborador, TRIM(L$1),
    tipo, TRIM($B102),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102" s="88">
        <f t="array" ref="M102">IFNA(
  LET(
    colaborador, TRIM(M$1),
    tipo, TRIM($B102),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102" s="88">
        <f t="array" ref="N102">IFNA(
  LET(
    colaborador, TRIM(N$1),
    tipo, TRIM($B102),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103">
      <c r="A103" s="90" t="s">
        <v>152</v>
      </c>
      <c r="B103" s="88" t="str">
        <f>IFERROR(__xludf.DUMMYFUNCTION("""COMPUTED_VALUE"""),"Curso SaaS")</f>
        <v>Curso SaaS</v>
      </c>
      <c r="C103" s="89">
        <f t="array" ref="C103">IFNA(
  LET(
    colaborador, TRIM(C$1),
    tipo, TRIM($B103),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103" s="89">
        <f t="array" ref="D103">IFNA(
  LET(
    colaborador, TRIM(D$1),
    tipo, TRIM($B103),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103" s="89">
        <f t="array" ref="E103">IFNA(
  LET(
    colaborador, TRIM(E$1),
    tipo, TRIM($B103),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103" s="89">
        <f t="array" ref="F103">IFNA(
  LET(
    colaborador, TRIM(F$1),
    tipo, TRIM($B103),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103" s="89">
        <f t="array" ref="G103">IFNA(
  LET(
    colaborador, TRIM(G$1),
    tipo, TRIM($B103),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103" s="89">
        <f t="array" ref="H103">IFNA(
  LET(
    colaborador, TRIM(H$1),
    tipo, TRIM($B103),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103" s="88">
        <f t="array" ref="I103">IFNA(
  LET(
    colaborador, TRIM(I$1),
    tipo, TRIM($B103),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103" s="88">
        <f t="array" ref="J103">IFNA(
  LET(
    colaborador, TRIM(J$1),
    tipo, TRIM($B103),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103" s="88">
        <f t="array" ref="K103">IFNA(
  LET(
    colaborador, TRIM(K$1),
    tipo, TRIM($B103),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103" s="88">
        <f t="array" ref="L103">IFNA(
  LET(
    colaborador, TRIM(L$1),
    tipo, TRIM($B103),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103" s="88">
        <f t="array" ref="M103">IFNA(
  LET(
    colaborador, TRIM(M$1),
    tipo, TRIM($B103),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103" s="88">
        <f t="array" ref="N103">IFNA(
  LET(
    colaborador, TRIM(N$1),
    tipo, TRIM($B103),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</row>
    <row r="104">
      <c r="A104" s="90" t="s">
        <v>152</v>
      </c>
      <c r="B104" s="88" t="str">
        <f>IFERROR(__xludf.DUMMYFUNCTION("""COMPUTED_VALUE"""),"Brindes funcionários")</f>
        <v>Brindes funcionários</v>
      </c>
      <c r="C104" s="89">
        <f t="array" ref="C104">IFNA(
  LET(
    colaborador, TRIM(C$1),
    tipo, TRIM($B104),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D104" s="89">
        <f t="array" ref="D104">IFNA(
  LET(
    colaborador, TRIM(D$1),
    tipo, TRIM($B104),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E104" s="89">
        <f t="array" ref="E104">IFNA(
  LET(
    colaborador, TRIM(E$1),
    tipo, TRIM($B104),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F104" s="89">
        <f t="array" ref="F104">IFNA(
  LET(
    colaborador, TRIM(F$1),
    tipo, TRIM($B104),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G104" s="89">
        <f t="array" ref="G104">IFNA(
  LET(
    colaborador, TRIM(G$1),
    tipo, TRIM($B104),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H104" s="89">
        <f t="array" ref="H104">IFNA(
  LET(
    colaborador, TRIM(H$1),
    tipo, TRIM($B104),
    linhaColab, MATCH(colaborador, 'Março26'!$B:$B, 0),
    linhaTotal, MATCH("Total", INDEX('Março26'!$B:$B, linhaColab+1):'Março26'!$B:$B, 0) + linhaColab,
    faixaTipos, INDEX('Março26'!$B:$B, linhaColab+2):INDEX('Março26'!$B:$B, linhaTotal-1),
    faixaValores, INDEX('Março26'!$C:$C, linhaColab+2):INDEX('Março26'!$C:$C, linhaTotal-1),
    INDEX(
      faixaValores,
      MATCH(TRUE, LOWER(TRIM(faixaTipos))=LOWER(tipo), 0)
    )
  ),
  0
)</f>
        <v>0</v>
      </c>
      <c r="I104" s="88">
        <f t="array" ref="I104">IFNA(
  LET(
    colaborador, TRIM(I$1),
    tipo, TRIM($B104),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J104" s="88">
        <f t="array" ref="J104">IFNA(
  LET(
    colaborador, TRIM(J$1),
    tipo, TRIM($B104),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K104" s="88">
        <f t="array" ref="K104">IFNA(
  LET(
    colaborador, TRIM(K$1),
    tipo, TRIM($B104),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L104" s="88">
        <f t="array" ref="L104">IFNA(
  LET(
    colaborador, TRIM(L$1),
    tipo, TRIM($B104),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M104" s="88">
        <f t="array" ref="M104">IFNA(
  LET(
    colaborador, TRIM(M$1),
    tipo, TRIM($B104),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>0</v>
      </c>
      <c r="N104" s="88" t="str">
        <f t="array" ref="N104">IFNA(
  LET(
    colaborador, TRIM(N$1),
    tipo, TRIM($B104),
    linhaColab, MATCH(colaborador, 'Março26'!$F:$F, 0),
    linhaTotal, MATCH("Total", INDEX('Março26'!$F:$F, linhaColab+1):'Março26'!$F:$F, 0) + linhaColab,
    faixaTipos, INDEX('Março26'!$F:$F, linhaColab+2):INDEX('Março26'!$F:$F, linhaTotal-1),
    faixaValores, INDEX('Março26'!$G:$G, linhaColab+2):INDEX('Março26'!$G:$G, linhaTotal-1),
    INDEX(
      faixaValores,
      MATCH(TRUE, LOWER(TRIM(faixaTipos))=LOWER(tipo), 0)
    )
  ),
  0
)</f>
        <v/>
      </c>
    </row>
    <row r="105">
      <c r="A105" s="91" t="s">
        <v>152</v>
      </c>
      <c r="B105" s="92" t="s">
        <v>150</v>
      </c>
      <c r="C105" s="93">
        <f t="shared" ref="C105:N105" si="3">SUM(C72:C104)</f>
        <v>1854.28</v>
      </c>
      <c r="D105" s="93">
        <f t="shared" si="3"/>
        <v>806.2</v>
      </c>
      <c r="E105" s="93">
        <f t="shared" si="3"/>
        <v>855.89</v>
      </c>
      <c r="F105" s="93">
        <f t="shared" si="3"/>
        <v>1046.35</v>
      </c>
      <c r="G105" s="93">
        <f t="shared" si="3"/>
        <v>129.14</v>
      </c>
      <c r="H105" s="93">
        <f t="shared" si="3"/>
        <v>540</v>
      </c>
      <c r="I105" s="93">
        <f t="shared" si="3"/>
        <v>66.6</v>
      </c>
      <c r="J105" s="93">
        <f t="shared" si="3"/>
        <v>103.11</v>
      </c>
      <c r="K105" s="93">
        <f t="shared" si="3"/>
        <v>310.8</v>
      </c>
      <c r="L105" s="93">
        <f t="shared" si="3"/>
        <v>297.84</v>
      </c>
      <c r="M105" s="93">
        <f t="shared" si="3"/>
        <v>134.17</v>
      </c>
      <c r="N105" s="93">
        <f t="shared" si="3"/>
        <v>0</v>
      </c>
    </row>
    <row r="106">
      <c r="A106" s="90" t="s">
        <v>153</v>
      </c>
      <c r="B106" s="88" t="str">
        <f>IFERROR(__xludf.DUMMYFUNCTION("UNIQUE(
  VSTACK(
    FILTER(
      Abril26!B1:B1027,
      Abril26!B1:B1027&lt;&gt;"""",
      SCAN(
        0,
        Abril26!B1:B1027,
        LAMBDA(acc,x, acc + N(LOWER(TRIM(x))=""tipo"") - N(LOWER(TRIM(x))=""total""))
      )&gt;0,
      LOWER(TRIM(Abril26!"&amp;"B1:B1027))&lt;&gt;""tipo""
    ),
    FILTER(
      Abril26!F1:F988,
      Abril26!F1:F988&lt;&gt;"""",
      SCAN(
        0,
        Abril26!F1:F988,
        LAMBDA(acc,x, acc + N(LOWER(TRIM(x))=""tipo"") - N(LOWER(TRIM(x))=""total""))
      )&gt;0,
      LOWER(TRIM(A"&amp;"bril26!F1:F988))&lt;&gt;""tipo""
    )
  )
)"),"Transporte")</f>
        <v>Transporte</v>
      </c>
      <c r="C106" s="89">
        <f t="array" ref="C106">IFNA(
  LET(
    colaborador, TRIM(C$1),
    tipo, TRIM($B106),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719.84</v>
      </c>
      <c r="D106" s="89">
        <f t="array" ref="D106">IFNA(
  LET(
    colaborador, TRIM(D$1),
    tipo, TRIM($B106),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06" s="89">
        <f t="array" ref="E106">IFNA(
  LET(
    colaborador, TRIM(E$1),
    tipo, TRIM($B106),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06" s="89">
        <f t="array" ref="F106">IFNA(
  LET(
    colaborador, TRIM(F$1),
    tipo, TRIM($B106),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06" s="89">
        <f t="array" ref="G106">IFNA(
  LET(
    colaborador, TRIM(G$1),
    tipo, TRIM($B106),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156.1</v>
      </c>
      <c r="H106" s="89">
        <f t="array" ref="H106">IFNA(
  LET(
    colaborador, TRIM(H$1),
    tipo, TRIM($B106),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06" s="88" t="str">
        <f t="array" ref="I106">IFNA(
  LET(
    colaborador, TRIM(I$1),
    tipo, TRIM($B106),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/>
      </c>
      <c r="J106" s="88" t="str">
        <f t="array" ref="J106">IFNA(
  LET(
    colaborador, TRIM(J$1),
    tipo, TRIM($B106),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/>
      </c>
      <c r="K106" s="88">
        <f t="array" ref="K106">IFNA(
  LET(
    colaborador, TRIM(K$1),
    tipo, TRIM($B106),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84.06</v>
      </c>
      <c r="L106" s="88">
        <f t="array" ref="L106">IFNA(
  LET(
    colaborador, TRIM(L$1),
    tipo, TRIM($B106),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204.24</v>
      </c>
      <c r="M106" s="88">
        <f t="array" ref="M106">IFNA(
  LET(
    colaborador, TRIM(M$1),
    tipo, TRIM($B106),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109.31</v>
      </c>
      <c r="N106" s="88">
        <f t="array" ref="N106">IFNA(
  LET(
    colaborador, TRIM(N$1),
    tipo, TRIM($B106),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07">
      <c r="A107" s="90" t="s">
        <v>153</v>
      </c>
      <c r="B107" s="88" t="str">
        <f>IFERROR(__xludf.DUMMYFUNCTION("""COMPUTED_VALUE"""),"Alimentação")</f>
        <v>Alimentação</v>
      </c>
      <c r="C107" s="89">
        <f t="array" ref="C107">IFNA(
  LET(
    colaborador, TRIM(C$1),
    tipo, TRIM($B107),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132.58</v>
      </c>
      <c r="D107" s="89" t="str">
        <f t="array" ref="D107">IFNA(
  LET(
    colaborador, TRIM(D$1),
    tipo, TRIM($B107),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/>
      </c>
      <c r="E107" s="89">
        <f t="array" ref="E107">IFNA(
  LET(
    colaborador, TRIM(E$1),
    tipo, TRIM($B107),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07" s="89">
        <f t="array" ref="F107">IFNA(
  LET(
    colaborador, TRIM(F$1),
    tipo, TRIM($B107),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07" s="89" t="str">
        <f t="array" ref="G107">IFNA(
  LET(
    colaborador, TRIM(G$1),
    tipo, TRIM($B107),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/>
      </c>
      <c r="H107" s="89" t="str">
        <f t="array" ref="H107">IFNA(
  LET(
    colaborador, TRIM(H$1),
    tipo, TRIM($B107),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/>
      </c>
      <c r="I107" s="88" t="str">
        <f t="array" ref="I107">IFNA(
  LET(
    colaborador, TRIM(I$1),
    tipo, TRIM($B107),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/>
      </c>
      <c r="J107" s="88">
        <f t="array" ref="J107">IFNA(
  LET(
    colaborador, TRIM(J$1),
    tipo, TRIM($B107),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07" s="88" t="str">
        <f t="array" ref="K107">IFNA(
  LET(
    colaborador, TRIM(K$1),
    tipo, TRIM($B107),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/>
      </c>
      <c r="L107" s="88">
        <f t="array" ref="L107">IFNA(
  LET(
    colaborador, TRIM(L$1),
    tipo, TRIM($B107),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07" s="88">
        <f t="array" ref="M107">IFNA(
  LET(
    colaborador, TRIM(M$1),
    tipo, TRIM($B107),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07" s="88">
        <f t="array" ref="N107">IFNA(
  LET(
    colaborador, TRIM(N$1),
    tipo, TRIM($B107),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08">
      <c r="A108" s="90" t="s">
        <v>153</v>
      </c>
      <c r="B108" s="88" t="str">
        <f>IFERROR(__xludf.DUMMYFUNCTION("""COMPUTED_VALUE"""),"Almoço com Cliente")</f>
        <v>Almoço com Cliente</v>
      </c>
      <c r="C108" s="89" t="str">
        <f t="array" ref="C108">IFNA(
  LET(
    colaborador, TRIM(C$1),
    tipo, TRIM($B108),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/>
      </c>
      <c r="D108" s="89">
        <f t="array" ref="D108">IFNA(
  LET(
    colaborador, TRIM(D$1),
    tipo, TRIM($B108),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08" s="89">
        <f t="array" ref="E108">IFNA(
  LET(
    colaborador, TRIM(E$1),
    tipo, TRIM($B108),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08" s="89">
        <f t="array" ref="F108">IFNA(
  LET(
    colaborador, TRIM(F$1),
    tipo, TRIM($B108),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08" s="89">
        <f t="array" ref="G108">IFNA(
  LET(
    colaborador, TRIM(G$1),
    tipo, TRIM($B108),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08" s="89">
        <f t="array" ref="H108">IFNA(
  LET(
    colaborador, TRIM(H$1),
    tipo, TRIM($B108),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08" s="88">
        <f t="array" ref="I108">IFNA(
  LET(
    colaborador, TRIM(I$1),
    tipo, TRIM($B108),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08" s="88">
        <f t="array" ref="J108">IFNA(
  LET(
    colaborador, TRIM(J$1),
    tipo, TRIM($B108),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08" s="88">
        <f t="array" ref="K108">IFNA(
  LET(
    colaborador, TRIM(K$1),
    tipo, TRIM($B108),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08" s="88">
        <f t="array" ref="L108">IFNA(
  LET(
    colaborador, TRIM(L$1),
    tipo, TRIM($B108),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08" s="88">
        <f t="array" ref="M108">IFNA(
  LET(
    colaborador, TRIM(M$1),
    tipo, TRIM($B108),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08" s="88">
        <f t="array" ref="N108">IFNA(
  LET(
    colaborador, TRIM(N$1),
    tipo, TRIM($B108),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09">
      <c r="A109" s="90" t="s">
        <v>153</v>
      </c>
      <c r="B109" s="88" t="str">
        <f>IFERROR(__xludf.DUMMYFUNCTION("""COMPUTED_VALUE"""),"Compra do Pc 5/6")</f>
        <v>Compra do Pc 5/6</v>
      </c>
      <c r="C109" s="89">
        <f t="array" ref="C109">IFNA(
  LET(
    colaborador, TRIM(C$1),
    tipo, TRIM($B109),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379</v>
      </c>
      <c r="D109" s="89">
        <f t="array" ref="D109">IFNA(
  LET(
    colaborador, TRIM(D$1),
    tipo, TRIM($B109),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09" s="89">
        <f t="array" ref="E109">IFNA(
  LET(
    colaborador, TRIM(E$1),
    tipo, TRIM($B109),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09" s="89">
        <f t="array" ref="F109">IFNA(
  LET(
    colaborador, TRIM(F$1),
    tipo, TRIM($B109),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09" s="89">
        <f t="array" ref="G109">IFNA(
  LET(
    colaborador, TRIM(G$1),
    tipo, TRIM($B109),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09" s="89">
        <f t="array" ref="H109">IFNA(
  LET(
    colaborador, TRIM(H$1),
    tipo, TRIM($B109),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09" s="88">
        <f t="array" ref="I109">IFNA(
  LET(
    colaborador, TRIM(I$1),
    tipo, TRIM($B109),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09" s="88">
        <f t="array" ref="J109">IFNA(
  LET(
    colaborador, TRIM(J$1),
    tipo, TRIM($B109),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09" s="88">
        <f t="array" ref="K109">IFNA(
  LET(
    colaborador, TRIM(K$1),
    tipo, TRIM($B109),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09" s="88">
        <f t="array" ref="L109">IFNA(
  LET(
    colaborador, TRIM(L$1),
    tipo, TRIM($B109),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09" s="88">
        <f t="array" ref="M109">IFNA(
  LET(
    colaborador, TRIM(M$1),
    tipo, TRIM($B109),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09" s="88">
        <f t="array" ref="N109">IFNA(
  LET(
    colaborador, TRIM(N$1),
    tipo, TRIM($B109),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10">
      <c r="A110" s="90" t="s">
        <v>153</v>
      </c>
      <c r="B110" s="88" t="str">
        <f>IFERROR(__xludf.DUMMYFUNCTION("""COMPUTED_VALUE"""),"Transporte/Manutenção")</f>
        <v>Transporte/Manutenção</v>
      </c>
      <c r="C110" s="89">
        <f t="array" ref="C110">IFNA(
  LET(
    colaborador, TRIM(C$1),
    tipo, TRIM($B110),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10" s="89">
        <f t="array" ref="D110">IFNA(
  LET(
    colaborador, TRIM(D$1),
    tipo, TRIM($B110),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270.88</v>
      </c>
      <c r="E110" s="89">
        <f t="array" ref="E110">IFNA(
  LET(
    colaborador, TRIM(E$1),
    tipo, TRIM($B110),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10" s="89" t="str">
        <f t="array" ref="F110">IFNA(
  LET(
    colaborador, TRIM(F$1),
    tipo, TRIM($B110),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/>
      </c>
      <c r="G110" s="89">
        <f t="array" ref="G110">IFNA(
  LET(
    colaborador, TRIM(G$1),
    tipo, TRIM($B110),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10" s="89">
        <f t="array" ref="H110">IFNA(
  LET(
    colaborador, TRIM(H$1),
    tipo, TRIM($B110),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10" s="88">
        <f t="array" ref="I110">IFNA(
  LET(
    colaborador, TRIM(I$1),
    tipo, TRIM($B110),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10" s="88">
        <f t="array" ref="J110">IFNA(
  LET(
    colaborador, TRIM(J$1),
    tipo, TRIM($B110),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10" s="88">
        <f t="array" ref="K110">IFNA(
  LET(
    colaborador, TRIM(K$1),
    tipo, TRIM($B110),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10" s="88">
        <f t="array" ref="L110">IFNA(
  LET(
    colaborador, TRIM(L$1),
    tipo, TRIM($B110),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10" s="88">
        <f t="array" ref="M110">IFNA(
  LET(
    colaborador, TRIM(M$1),
    tipo, TRIM($B110),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10" s="88">
        <f t="array" ref="N110">IFNA(
  LET(
    colaborador, TRIM(N$1),
    tipo, TRIM($B110),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11">
      <c r="A111" s="90" t="s">
        <v>153</v>
      </c>
      <c r="B111" s="88" t="str">
        <f>IFERROR(__xludf.DUMMYFUNCTION("""COMPUTED_VALUE"""),"Plano telefone + Internet chip xpe")</f>
        <v>Plano telefone + Internet chip xpe</v>
      </c>
      <c r="C111" s="89">
        <f t="array" ref="C111">IFNA(
  LET(
    colaborador, TRIM(C$1),
    tipo, TRIM($B111),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11" s="89">
        <f t="array" ref="D111">IFNA(
  LET(
    colaborador, TRIM(D$1),
    tipo, TRIM($B111),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88.88</v>
      </c>
      <c r="E111" s="89">
        <f t="array" ref="E111">IFNA(
  LET(
    colaborador, TRIM(E$1),
    tipo, TRIM($B111),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11" s="89">
        <f t="array" ref="F111">IFNA(
  LET(
    colaborador, TRIM(F$1),
    tipo, TRIM($B111),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11" s="89">
        <f t="array" ref="G111">IFNA(
  LET(
    colaborador, TRIM(G$1),
    tipo, TRIM($B111),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11" s="89">
        <f t="array" ref="H111">IFNA(
  LET(
    colaborador, TRIM(H$1),
    tipo, TRIM($B111),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11" s="88">
        <f t="array" ref="I111">IFNA(
  LET(
    colaborador, TRIM(I$1),
    tipo, TRIM($B111),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11" s="88">
        <f t="array" ref="J111">IFNA(
  LET(
    colaborador, TRIM(J$1),
    tipo, TRIM($B111),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11" s="88">
        <f t="array" ref="K111">IFNA(
  LET(
    colaborador, TRIM(K$1),
    tipo, TRIM($B111),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11" s="88">
        <f t="array" ref="L111">IFNA(
  LET(
    colaborador, TRIM(L$1),
    tipo, TRIM($B111),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11" s="88">
        <f t="array" ref="M111">IFNA(
  LET(
    colaborador, TRIM(M$1),
    tipo, TRIM($B111),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11" s="88">
        <f t="array" ref="N111">IFNA(
  LET(
    colaborador, TRIM(N$1),
    tipo, TRIM($B111),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12">
      <c r="A112" s="90" t="s">
        <v>153</v>
      </c>
      <c r="B112" s="88" t="str">
        <f>IFERROR(__xludf.DUMMYFUNCTION("""COMPUTED_VALUE"""),"Cadeiras + Microfone 6/14")</f>
        <v>Cadeiras + Microfone 6/14</v>
      </c>
      <c r="C112" s="89">
        <f t="array" ref="C112">IFNA(
  LET(
    colaborador, TRIM(C$1),
    tipo, TRIM($B112),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12" s="89">
        <f t="array" ref="D112">IFNA(
  LET(
    colaborador, TRIM(D$1),
    tipo, TRIM($B112),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221.44</v>
      </c>
      <c r="E112" s="89">
        <f t="array" ref="E112">IFNA(
  LET(
    colaborador, TRIM(E$1),
    tipo, TRIM($B112),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12" s="89">
        <f t="array" ref="F112">IFNA(
  LET(
    colaborador, TRIM(F$1),
    tipo, TRIM($B112),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12" s="89">
        <f t="array" ref="G112">IFNA(
  LET(
    colaborador, TRIM(G$1),
    tipo, TRIM($B112),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12" s="89">
        <f t="array" ref="H112">IFNA(
  LET(
    colaborador, TRIM(H$1),
    tipo, TRIM($B112),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12" s="88">
        <f t="array" ref="I112">IFNA(
  LET(
    colaborador, TRIM(I$1),
    tipo, TRIM($B112),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12" s="88">
        <f t="array" ref="J112">IFNA(
  LET(
    colaborador, TRIM(J$1),
    tipo, TRIM($B112),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12" s="88">
        <f t="array" ref="K112">IFNA(
  LET(
    colaborador, TRIM(K$1),
    tipo, TRIM($B112),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12" s="88">
        <f t="array" ref="L112">IFNA(
  LET(
    colaborador, TRIM(L$1),
    tipo, TRIM($B112),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12" s="88">
        <f t="array" ref="M112">IFNA(
  LET(
    colaborador, TRIM(M$1),
    tipo, TRIM($B112),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12" s="88">
        <f t="array" ref="N112">IFNA(
  LET(
    colaborador, TRIM(N$1),
    tipo, TRIM($B112),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13">
      <c r="A113" s="90" t="s">
        <v>153</v>
      </c>
      <c r="B113" s="88" t="str">
        <f>IFERROR(__xludf.DUMMYFUNCTION("""COMPUTED_VALUE"""),"Impressora 3D 4/12")</f>
        <v>Impressora 3D 4/12</v>
      </c>
      <c r="C113" s="89">
        <f t="array" ref="C113">IFNA(
  LET(
    colaborador, TRIM(C$1),
    tipo, TRIM($B113),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13" s="89">
        <f t="array" ref="D113">IFNA(
  LET(
    colaborador, TRIM(D$1),
    tipo, TRIM($B113),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284.91</v>
      </c>
      <c r="E113" s="89">
        <f t="array" ref="E113">IFNA(
  LET(
    colaborador, TRIM(E$1),
    tipo, TRIM($B113),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13" s="89">
        <f t="array" ref="F113">IFNA(
  LET(
    colaborador, TRIM(F$1),
    tipo, TRIM($B113),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13" s="89">
        <f t="array" ref="G113">IFNA(
  LET(
    colaborador, TRIM(G$1),
    tipo, TRIM($B113),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13" s="89">
        <f t="array" ref="H113">IFNA(
  LET(
    colaborador, TRIM(H$1),
    tipo, TRIM($B113),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13" s="88">
        <f t="array" ref="I113">IFNA(
  LET(
    colaborador, TRIM(I$1),
    tipo, TRIM($B113),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13" s="88">
        <f t="array" ref="J113">IFNA(
  LET(
    colaborador, TRIM(J$1),
    tipo, TRIM($B113),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13" s="88">
        <f t="array" ref="K113">IFNA(
  LET(
    colaborador, TRIM(K$1),
    tipo, TRIM($B113),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13" s="88">
        <f t="array" ref="L113">IFNA(
  LET(
    colaborador, TRIM(L$1),
    tipo, TRIM($B113),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13" s="88">
        <f t="array" ref="M113">IFNA(
  LET(
    colaborador, TRIM(M$1),
    tipo, TRIM($B113),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13" s="88">
        <f t="array" ref="N113">IFNA(
  LET(
    colaborador, TRIM(N$1),
    tipo, TRIM($B113),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14">
      <c r="A114" s="90" t="s">
        <v>153</v>
      </c>
      <c r="B114" s="88" t="str">
        <f>IFERROR(__xludf.DUMMYFUNCTION("""COMPUTED_VALUE"""),"Combustível")</f>
        <v>Combustível</v>
      </c>
      <c r="C114" s="89">
        <f t="array" ref="C114">IFNA(
  LET(
    colaborador, TRIM(C$1),
    tipo, TRIM($B114),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14" s="89">
        <f t="array" ref="D114">IFNA(
  LET(
    colaborador, TRIM(D$1),
    tipo, TRIM($B114),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14" s="89" t="str">
        <f t="array" ref="E114">IFNA(
  LET(
    colaborador, TRIM(E$1),
    tipo, TRIM($B114),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/>
      </c>
      <c r="F114" s="89">
        <f t="array" ref="F114">IFNA(
  LET(
    colaborador, TRIM(F$1),
    tipo, TRIM($B114),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14" s="89">
        <f t="array" ref="G114">IFNA(
  LET(
    colaborador, TRIM(G$1),
    tipo, TRIM($B114),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14" s="89">
        <f t="array" ref="H114">IFNA(
  LET(
    colaborador, TRIM(H$1),
    tipo, TRIM($B114),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14" s="88">
        <f t="array" ref="I114">IFNA(
  LET(
    colaborador, TRIM(I$1),
    tipo, TRIM($B114),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14" s="88">
        <f t="array" ref="J114">IFNA(
  LET(
    colaborador, TRIM(J$1),
    tipo, TRIM($B114),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14" s="88">
        <f t="array" ref="K114">IFNA(
  LET(
    colaborador, TRIM(K$1),
    tipo, TRIM($B114),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14" s="88">
        <f t="array" ref="L114">IFNA(
  LET(
    colaborador, TRIM(L$1),
    tipo, TRIM($B114),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14" s="88">
        <f t="array" ref="M114">IFNA(
  LET(
    colaborador, TRIM(M$1),
    tipo, TRIM($B114),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14" s="88">
        <f t="array" ref="N114">IFNA(
  LET(
    colaborador, TRIM(N$1),
    tipo, TRIM($B114),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15">
      <c r="A115" s="90" t="s">
        <v>153</v>
      </c>
      <c r="B115" s="88" t="str">
        <f>IFERROR(__xludf.DUMMYFUNCTION("""COMPUTED_VALUE"""),"Alimentação Visitas")</f>
        <v>Alimentação Visitas</v>
      </c>
      <c r="C115" s="89">
        <f t="array" ref="C115">IFNA(
  LET(
    colaborador, TRIM(C$1),
    tipo, TRIM($B115),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15" s="89">
        <f t="array" ref="D115">IFNA(
  LET(
    colaborador, TRIM(D$1),
    tipo, TRIM($B115),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15" s="89" t="str">
        <f t="array" ref="E115">IFNA(
  LET(
    colaborador, TRIM(E$1),
    tipo, TRIM($B115),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/>
      </c>
      <c r="F115" s="89">
        <f t="array" ref="F115">IFNA(
  LET(
    colaborador, TRIM(F$1),
    tipo, TRIM($B115),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15" s="89">
        <f t="array" ref="G115">IFNA(
  LET(
    colaborador, TRIM(G$1),
    tipo, TRIM($B115),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15" s="89">
        <f t="array" ref="H115">IFNA(
  LET(
    colaborador, TRIM(H$1),
    tipo, TRIM($B115),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15" s="88">
        <f t="array" ref="I115">IFNA(
  LET(
    colaborador, TRIM(I$1),
    tipo, TRIM($B115),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15" s="88">
        <f t="array" ref="J115">IFNA(
  LET(
    colaborador, TRIM(J$1),
    tipo, TRIM($B115),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15" s="88">
        <f t="array" ref="K115">IFNA(
  LET(
    colaborador, TRIM(K$1),
    tipo, TRIM($B115),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15" s="88">
        <f t="array" ref="L115">IFNA(
  LET(
    colaborador, TRIM(L$1),
    tipo, TRIM($B115),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15" s="88">
        <f t="array" ref="M115">IFNA(
  LET(
    colaborador, TRIM(M$1),
    tipo, TRIM($B115),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15" s="88">
        <f t="array" ref="N115">IFNA(
  LET(
    colaborador, TRIM(N$1),
    tipo, TRIM($B115),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16">
      <c r="A116" s="90" t="s">
        <v>153</v>
      </c>
      <c r="B116" s="88" t="str">
        <f>IFERROR(__xludf.DUMMYFUNCTION("""COMPUTED_VALUE"""),"Uber")</f>
        <v>Uber</v>
      </c>
      <c r="C116" s="89">
        <f t="array" ref="C116">IFNA(
  LET(
    colaborador, TRIM(C$1),
    tipo, TRIM($B116),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16" s="89">
        <f t="array" ref="D116">IFNA(
  LET(
    colaborador, TRIM(D$1),
    tipo, TRIM($B116),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16" s="89">
        <f t="array" ref="E116">IFNA(
  LET(
    colaborador, TRIM(E$1),
    tipo, TRIM($B116),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721.43</v>
      </c>
      <c r="F116" s="89">
        <f t="array" ref="F116">IFNA(
  LET(
    colaborador, TRIM(F$1),
    tipo, TRIM($B116),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16" s="89">
        <f t="array" ref="G116">IFNA(
  LET(
    colaborador, TRIM(G$1),
    tipo, TRIM($B116),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16" s="89">
        <f t="array" ref="H116">IFNA(
  LET(
    colaborador, TRIM(H$1),
    tipo, TRIM($B116),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16" s="88">
        <f t="array" ref="I116">IFNA(
  LET(
    colaborador, TRIM(I$1),
    tipo, TRIM($B116),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16" s="88">
        <f t="array" ref="J116">IFNA(
  LET(
    colaborador, TRIM(J$1),
    tipo, TRIM($B116),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16" s="88">
        <f t="array" ref="K116">IFNA(
  LET(
    colaborador, TRIM(K$1),
    tipo, TRIM($B116),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16" s="88">
        <f t="array" ref="L116">IFNA(
  LET(
    colaborador, TRIM(L$1),
    tipo, TRIM($B116),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16" s="88">
        <f t="array" ref="M116">IFNA(
  LET(
    colaborador, TRIM(M$1),
    tipo, TRIM($B116),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16" s="88">
        <f t="array" ref="N116">IFNA(
  LET(
    colaborador, TRIM(N$1),
    tipo, TRIM($B116),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143.2</v>
      </c>
    </row>
    <row r="117">
      <c r="A117" s="90" t="s">
        <v>153</v>
      </c>
      <c r="B117" s="88" t="str">
        <f>IFERROR(__xludf.DUMMYFUNCTION("""COMPUTED_VALUE"""),"Lojão do condomínio")</f>
        <v>Lojão do condomínio</v>
      </c>
      <c r="C117" s="89">
        <f t="array" ref="C117">IFNA(
  LET(
    colaborador, TRIM(C$1),
    tipo, TRIM($B117),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17" s="89">
        <f t="array" ref="D117">IFNA(
  LET(
    colaborador, TRIM(D$1),
    tipo, TRIM($B117),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17" s="89" t="str">
        <f t="array" ref="E117">IFNA(
  LET(
    colaborador, TRIM(E$1),
    tipo, TRIM($B117),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/>
      </c>
      <c r="F117" s="89">
        <f t="array" ref="F117">IFNA(
  LET(
    colaborador, TRIM(F$1),
    tipo, TRIM($B117),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17" s="89">
        <f t="array" ref="G117">IFNA(
  LET(
    colaborador, TRIM(G$1),
    tipo, TRIM($B117),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17" s="89">
        <f t="array" ref="H117">IFNA(
  LET(
    colaborador, TRIM(H$1),
    tipo, TRIM($B117),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17" s="88">
        <f t="array" ref="I117">IFNA(
  LET(
    colaborador, TRIM(I$1),
    tipo, TRIM($B117),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17" s="88">
        <f t="array" ref="J117">IFNA(
  LET(
    colaborador, TRIM(J$1),
    tipo, TRIM($B117),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17" s="88">
        <f t="array" ref="K117">IFNA(
  LET(
    colaborador, TRIM(K$1),
    tipo, TRIM($B117),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17" s="88">
        <f t="array" ref="L117">IFNA(
  LET(
    colaborador, TRIM(L$1),
    tipo, TRIM($B117),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17" s="88">
        <f t="array" ref="M117">IFNA(
  LET(
    colaborador, TRIM(M$1),
    tipo, TRIM($B117),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17" s="88">
        <f t="array" ref="N117">IFNA(
  LET(
    colaborador, TRIM(N$1),
    tipo, TRIM($B117),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18">
      <c r="A118" s="90" t="s">
        <v>153</v>
      </c>
      <c r="B118" s="88" t="str">
        <f>IFERROR(__xludf.DUMMYFUNCTION("""COMPUTED_VALUE"""),"Curso MUC 12/12")</f>
        <v>Curso MUC 12/12</v>
      </c>
      <c r="C118" s="89">
        <f t="array" ref="C118">IFNA(
  LET(
    colaborador, TRIM(C$1),
    tipo, TRIM($B118),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18" s="89">
        <f t="array" ref="D118">IFNA(
  LET(
    colaborador, TRIM(D$1),
    tipo, TRIM($B118),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18" s="89">
        <f t="array" ref="E118">IFNA(
  LET(
    colaborador, TRIM(E$1),
    tipo, TRIM($B118),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99.7</v>
      </c>
      <c r="F118" s="89">
        <f t="array" ref="F118">IFNA(
  LET(
    colaborador, TRIM(F$1),
    tipo, TRIM($B118),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18" s="89">
        <f t="array" ref="G118">IFNA(
  LET(
    colaborador, TRIM(G$1),
    tipo, TRIM($B118),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18" s="89">
        <f t="array" ref="H118">IFNA(
  LET(
    colaborador, TRIM(H$1),
    tipo, TRIM($B118),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18" s="88">
        <f t="array" ref="I118">IFNA(
  LET(
    colaborador, TRIM(I$1),
    tipo, TRIM($B118),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18" s="88">
        <f t="array" ref="J118">IFNA(
  LET(
    colaborador, TRIM(J$1),
    tipo, TRIM($B118),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18" s="88">
        <f t="array" ref="K118">IFNA(
  LET(
    colaborador, TRIM(K$1),
    tipo, TRIM($B118),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18" s="88">
        <f t="array" ref="L118">IFNA(
  LET(
    colaborador, TRIM(L$1),
    tipo, TRIM($B118),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18" s="88">
        <f t="array" ref="M118">IFNA(
  LET(
    colaborador, TRIM(M$1),
    tipo, TRIM($B118),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18" s="88">
        <f t="array" ref="N118">IFNA(
  LET(
    colaborador, TRIM(N$1),
    tipo, TRIM($B118),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19">
      <c r="A119" s="90" t="s">
        <v>153</v>
      </c>
      <c r="B119" s="88" t="str">
        <f>IFERROR(__xludf.DUMMYFUNCTION("""COMPUTED_VALUE"""),"ART")</f>
        <v>ART</v>
      </c>
      <c r="C119" s="89">
        <f t="array" ref="C119">IFNA(
  LET(
    colaborador, TRIM(C$1),
    tipo, TRIM($B119),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19" s="89">
        <f t="array" ref="D119">IFNA(
  LET(
    colaborador, TRIM(D$1),
    tipo, TRIM($B119),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19" s="89">
        <f t="array" ref="E119">IFNA(
  LET(
    colaborador, TRIM(E$1),
    tipo, TRIM($B119),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111.38</v>
      </c>
      <c r="F119" s="89">
        <f t="array" ref="F119">IFNA(
  LET(
    colaborador, TRIM(F$1),
    tipo, TRIM($B119),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19" s="89">
        <f t="array" ref="G119">IFNA(
  LET(
    colaborador, TRIM(G$1),
    tipo, TRIM($B119),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19" s="89">
        <f t="array" ref="H119">IFNA(
  LET(
    colaborador, TRIM(H$1),
    tipo, TRIM($B119),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19" s="88">
        <f t="array" ref="I119">IFNA(
  LET(
    colaborador, TRIM(I$1),
    tipo, TRIM($B119),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19" s="88">
        <f t="array" ref="J119">IFNA(
  LET(
    colaborador, TRIM(J$1),
    tipo, TRIM($B119),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19" s="88">
        <f t="array" ref="K119">IFNA(
  LET(
    colaborador, TRIM(K$1),
    tipo, TRIM($B119),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19" s="88">
        <f t="array" ref="L119">IFNA(
  LET(
    colaborador, TRIM(L$1),
    tipo, TRIM($B119),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19" s="88">
        <f t="array" ref="M119">IFNA(
  LET(
    colaborador, TRIM(M$1),
    tipo, TRIM($B119),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19" s="88">
        <f t="array" ref="N119">IFNA(
  LET(
    colaborador, TRIM(N$1),
    tipo, TRIM($B119),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20">
      <c r="A120" s="90" t="s">
        <v>153</v>
      </c>
      <c r="B120" s="88" t="str">
        <f>IFERROR(__xludf.DUMMYFUNCTION("""COMPUTED_VALUE"""),"Antropic")</f>
        <v>Antropic</v>
      </c>
      <c r="C120" s="89">
        <f t="array" ref="C120">IFNA(
  LET(
    colaborador, TRIM(C$1),
    tipo, TRIM($B120),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20" s="89">
        <f t="array" ref="D120">IFNA(
  LET(
    colaborador, TRIM(D$1),
    tipo, TRIM($B120),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20" s="89">
        <f t="array" ref="E120">IFNA(
  LET(
    colaborador, TRIM(E$1),
    tipo, TRIM($B120),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20" s="89">
        <f t="array" ref="F120">IFNA(
  LET(
    colaborador, TRIM(F$1),
    tipo, TRIM($B120),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280.74</v>
      </c>
      <c r="G120" s="89">
        <f t="array" ref="G120">IFNA(
  LET(
    colaborador, TRIM(G$1),
    tipo, TRIM($B120),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20" s="89">
        <f t="array" ref="H120">IFNA(
  LET(
    colaborador, TRIM(H$1),
    tipo, TRIM($B120),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20" s="88">
        <f t="array" ref="I120">IFNA(
  LET(
    colaborador, TRIM(I$1),
    tipo, TRIM($B120),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20" s="88">
        <f t="array" ref="J120">IFNA(
  LET(
    colaborador, TRIM(J$1),
    tipo, TRIM($B120),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20" s="88">
        <f t="array" ref="K120">IFNA(
  LET(
    colaborador, TRIM(K$1),
    tipo, TRIM($B120),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20" s="88">
        <f t="array" ref="L120">IFNA(
  LET(
    colaborador, TRIM(L$1),
    tipo, TRIM($B120),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20" s="88">
        <f t="array" ref="M120">IFNA(
  LET(
    colaborador, TRIM(M$1),
    tipo, TRIM($B120),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20" s="88">
        <f t="array" ref="N120">IFNA(
  LET(
    colaborador, TRIM(N$1),
    tipo, TRIM($B120),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21">
      <c r="A121" s="90" t="s">
        <v>153</v>
      </c>
      <c r="B121" s="88" t="str">
        <f>IFERROR(__xludf.DUMMYFUNCTION("""COMPUTED_VALUE"""),"Google Drive")</f>
        <v>Google Drive</v>
      </c>
      <c r="C121" s="89">
        <f t="array" ref="C121">IFNA(
  LET(
    colaborador, TRIM(C$1),
    tipo, TRIM($B121),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21" s="89">
        <f t="array" ref="D121">IFNA(
  LET(
    colaborador, TRIM(D$1),
    tipo, TRIM($B121),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21" s="89">
        <f t="array" ref="E121">IFNA(
  LET(
    colaborador, TRIM(E$1),
    tipo, TRIM($B121),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21" s="89">
        <f t="array" ref="F121">IFNA(
  LET(
    colaborador, TRIM(F$1),
    tipo, TRIM($B121),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4.5</v>
      </c>
      <c r="G121" s="89">
        <f t="array" ref="G121">IFNA(
  LET(
    colaborador, TRIM(G$1),
    tipo, TRIM($B121),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21" s="89">
        <f t="array" ref="H121">IFNA(
  LET(
    colaborador, TRIM(H$1),
    tipo, TRIM($B121),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21" s="88">
        <f t="array" ref="I121">IFNA(
  LET(
    colaborador, TRIM(I$1),
    tipo, TRIM($B121),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21" s="88">
        <f t="array" ref="J121">IFNA(
  LET(
    colaborador, TRIM(J$1),
    tipo, TRIM($B121),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21" s="88">
        <f t="array" ref="K121">IFNA(
  LET(
    colaborador, TRIM(K$1),
    tipo, TRIM($B121),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21" s="88">
        <f t="array" ref="L121">IFNA(
  LET(
    colaborador, TRIM(L$1),
    tipo, TRIM($B121),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21" s="88">
        <f t="array" ref="M121">IFNA(
  LET(
    colaborador, TRIM(M$1),
    tipo, TRIM($B121),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21" s="88">
        <f t="array" ref="N121">IFNA(
  LET(
    colaborador, TRIM(N$1),
    tipo, TRIM($B121),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22">
      <c r="A122" s="90" t="s">
        <v>153</v>
      </c>
      <c r="B122" s="88" t="str">
        <f>IFERROR(__xludf.DUMMYFUNCTION("""COMPUTED_VALUE"""),"Ar Cond 5/12")</f>
        <v>Ar Cond 5/12</v>
      </c>
      <c r="C122" s="89">
        <f t="array" ref="C122">IFNA(
  LET(
    colaborador, TRIM(C$1),
    tipo, TRIM($B122),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22" s="89">
        <f t="array" ref="D122">IFNA(
  LET(
    colaborador, TRIM(D$1),
    tipo, TRIM($B122),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22" s="89">
        <f t="array" ref="E122">IFNA(
  LET(
    colaborador, TRIM(E$1),
    tipo, TRIM($B122),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22" s="89">
        <f t="array" ref="F122">IFNA(
  LET(
    colaborador, TRIM(F$1),
    tipo, TRIM($B122),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324.95</v>
      </c>
      <c r="G122" s="89">
        <f t="array" ref="G122">IFNA(
  LET(
    colaborador, TRIM(G$1),
    tipo, TRIM($B122),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22" s="89">
        <f t="array" ref="H122">IFNA(
  LET(
    colaborador, TRIM(H$1),
    tipo, TRIM($B122),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22" s="88">
        <f t="array" ref="I122">IFNA(
  LET(
    colaborador, TRIM(I$1),
    tipo, TRIM($B122),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22" s="88">
        <f t="array" ref="J122">IFNA(
  LET(
    colaborador, TRIM(J$1),
    tipo, TRIM($B122),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22" s="88">
        <f t="array" ref="K122">IFNA(
  LET(
    colaborador, TRIM(K$1),
    tipo, TRIM($B122),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22" s="88">
        <f t="array" ref="L122">IFNA(
  LET(
    colaborador, TRIM(L$1),
    tipo, TRIM($B122),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22" s="88">
        <f t="array" ref="M122">IFNA(
  LET(
    colaborador, TRIM(M$1),
    tipo, TRIM($B122),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22" s="88">
        <f t="array" ref="N122">IFNA(
  LET(
    colaborador, TRIM(N$1),
    tipo, TRIM($B122),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23">
      <c r="A123" s="90" t="s">
        <v>153</v>
      </c>
      <c r="B123" s="88" t="str">
        <f>IFERROR(__xludf.DUMMYFUNCTION("""COMPUTED_VALUE"""),"Monitores 5/12")</f>
        <v>Monitores 5/12</v>
      </c>
      <c r="C123" s="89">
        <f t="array" ref="C123">IFNA(
  LET(
    colaborador, TRIM(C$1),
    tipo, TRIM($B123),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23" s="89">
        <f t="array" ref="D123">IFNA(
  LET(
    colaborador, TRIM(D$1),
    tipo, TRIM($B123),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23" s="89">
        <f t="array" ref="E123">IFNA(
  LET(
    colaborador, TRIM(E$1),
    tipo, TRIM($B123),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23" s="89">
        <f t="array" ref="F123">IFNA(
  LET(
    colaborador, TRIM(F$1),
    tipo, TRIM($B123),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144.5</v>
      </c>
      <c r="G123" s="89">
        <f t="array" ref="G123">IFNA(
  LET(
    colaborador, TRIM(G$1),
    tipo, TRIM($B123),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23" s="89">
        <f t="array" ref="H123">IFNA(
  LET(
    colaborador, TRIM(H$1),
    tipo, TRIM($B123),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23" s="88">
        <f t="array" ref="I123">IFNA(
  LET(
    colaborador, TRIM(I$1),
    tipo, TRIM($B123),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23" s="88">
        <f t="array" ref="J123">IFNA(
  LET(
    colaborador, TRIM(J$1),
    tipo, TRIM($B123),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23" s="88">
        <f t="array" ref="K123">IFNA(
  LET(
    colaborador, TRIM(K$1),
    tipo, TRIM($B123),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23" s="88">
        <f t="array" ref="L123">IFNA(
  LET(
    colaborador, TRIM(L$1),
    tipo, TRIM($B123),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23" s="88">
        <f t="array" ref="M123">IFNA(
  LET(
    colaborador, TRIM(M$1),
    tipo, TRIM($B123),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23" s="88">
        <f t="array" ref="N123">IFNA(
  LET(
    colaborador, TRIM(N$1),
    tipo, TRIM($B123),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24">
      <c r="A124" s="90" t="s">
        <v>153</v>
      </c>
      <c r="B124" s="88" t="str">
        <f>IFERROR(__xludf.DUMMYFUNCTION("""COMPUTED_VALUE"""),"Notebooks part 2 - 10/24")</f>
        <v>Notebooks part 2 - 10/24</v>
      </c>
      <c r="C124" s="89">
        <f t="array" ref="C124">IFNA(
  LET(
    colaborador, TRIM(C$1),
    tipo, TRIM($B124),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24" s="89">
        <f t="array" ref="D124">IFNA(
  LET(
    colaborador, TRIM(D$1),
    tipo, TRIM($B124),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24" s="89">
        <f t="array" ref="E124">IFNA(
  LET(
    colaborador, TRIM(E$1),
    tipo, TRIM($B124),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24" s="89">
        <f t="array" ref="F124">IFNA(
  LET(
    colaborador, TRIM(F$1),
    tipo, TRIM($B124),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291.66</v>
      </c>
      <c r="G124" s="89">
        <f t="array" ref="G124">IFNA(
  LET(
    colaborador, TRIM(G$1),
    tipo, TRIM($B124),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24" s="89">
        <f t="array" ref="H124">IFNA(
  LET(
    colaborador, TRIM(H$1),
    tipo, TRIM($B124),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24" s="88">
        <f t="array" ref="I124">IFNA(
  LET(
    colaborador, TRIM(I$1),
    tipo, TRIM($B124),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24" s="88">
        <f t="array" ref="J124">IFNA(
  LET(
    colaborador, TRIM(J$1),
    tipo, TRIM($B124),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24" s="88">
        <f t="array" ref="K124">IFNA(
  LET(
    colaborador, TRIM(K$1),
    tipo, TRIM($B124),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24" s="88">
        <f t="array" ref="L124">IFNA(
  LET(
    colaborador, TRIM(L$1),
    tipo, TRIM($B124),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24" s="88">
        <f t="array" ref="M124">IFNA(
  LET(
    colaborador, TRIM(M$1),
    tipo, TRIM($B124),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24" s="88">
        <f t="array" ref="N124">IFNA(
  LET(
    colaborador, TRIM(N$1),
    tipo, TRIM($B124),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25">
      <c r="A125" s="90" t="s">
        <v>153</v>
      </c>
      <c r="B125" s="88" t="str">
        <f>IFERROR(__xludf.DUMMYFUNCTION("""COMPUTED_VALUE"""),"Resmas Folhas")</f>
        <v>Resmas Folhas</v>
      </c>
      <c r="C125" s="89">
        <f t="array" ref="C125">IFNA(
  LET(
    colaborador, TRIM(C$1),
    tipo, TRIM($B125),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25" s="89">
        <f t="array" ref="D125">IFNA(
  LET(
    colaborador, TRIM(D$1),
    tipo, TRIM($B125),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25" s="89">
        <f t="array" ref="E125">IFNA(
  LET(
    colaborador, TRIM(E$1),
    tipo, TRIM($B125),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25" s="89">
        <f t="array" ref="F125">IFNA(
  LET(
    colaborador, TRIM(F$1),
    tipo, TRIM($B125),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25" s="89">
        <f t="array" ref="G125">IFNA(
  LET(
    colaborador, TRIM(G$1),
    tipo, TRIM($B125),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65.8</v>
      </c>
      <c r="H125" s="89">
        <f t="array" ref="H125">IFNA(
  LET(
    colaborador, TRIM(H$1),
    tipo, TRIM($B125),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25" s="88">
        <f t="array" ref="I125">IFNA(
  LET(
    colaborador, TRIM(I$1),
    tipo, TRIM($B125),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25" s="88">
        <f t="array" ref="J125">IFNA(
  LET(
    colaborador, TRIM(J$1),
    tipo, TRIM($B125),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25" s="88">
        <f t="array" ref="K125">IFNA(
  LET(
    colaborador, TRIM(K$1),
    tipo, TRIM($B125),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25" s="88">
        <f t="array" ref="L125">IFNA(
  LET(
    colaborador, TRIM(L$1),
    tipo, TRIM($B125),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25" s="88">
        <f t="array" ref="M125">IFNA(
  LET(
    colaborador, TRIM(M$1),
    tipo, TRIM($B125),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25" s="88">
        <f t="array" ref="N125">IFNA(
  LET(
    colaborador, TRIM(N$1),
    tipo, TRIM($B125),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26">
      <c r="A126" s="90" t="s">
        <v>153</v>
      </c>
      <c r="B126" s="88" t="str">
        <f>IFERROR(__xludf.DUMMYFUNCTION("""COMPUTED_VALUE"""),"Cabos e Fita para Inst.")</f>
        <v>Cabos e Fita para Inst.</v>
      </c>
      <c r="C126" s="89">
        <f t="array" ref="C126">IFNA(
  LET(
    colaborador, TRIM(C$1),
    tipo, TRIM($B126),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26" s="89">
        <f t="array" ref="D126">IFNA(
  LET(
    colaborador, TRIM(D$1),
    tipo, TRIM($B126),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26" s="89">
        <f t="array" ref="E126">IFNA(
  LET(
    colaborador, TRIM(E$1),
    tipo, TRIM($B126),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26" s="89">
        <f t="array" ref="F126">IFNA(
  LET(
    colaborador, TRIM(F$1),
    tipo, TRIM($B126),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26" s="89">
        <f t="array" ref="G126">IFNA(
  LET(
    colaborador, TRIM(G$1),
    tipo, TRIM($B126),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307.8</v>
      </c>
      <c r="H126" s="89">
        <f t="array" ref="H126">IFNA(
  LET(
    colaborador, TRIM(H$1),
    tipo, TRIM($B126),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26" s="88">
        <f t="array" ref="I126">IFNA(
  LET(
    colaborador, TRIM(I$1),
    tipo, TRIM($B126),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26" s="88">
        <f t="array" ref="J126">IFNA(
  LET(
    colaborador, TRIM(J$1),
    tipo, TRIM($B126),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26" s="88">
        <f t="array" ref="K126">IFNA(
  LET(
    colaborador, TRIM(K$1),
    tipo, TRIM($B126),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26" s="88">
        <f t="array" ref="L126">IFNA(
  LET(
    colaborador, TRIM(L$1),
    tipo, TRIM($B126),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26" s="88">
        <f t="array" ref="M126">IFNA(
  LET(
    colaborador, TRIM(M$1),
    tipo, TRIM($B126),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26" s="88">
        <f t="array" ref="N126">IFNA(
  LET(
    colaborador, TRIM(N$1),
    tipo, TRIM($B126),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27">
      <c r="A127" s="90" t="s">
        <v>153</v>
      </c>
      <c r="B127" s="88" t="str">
        <f>IFERROR(__xludf.DUMMYFUNCTION("""COMPUTED_VALUE"""),"Transporte/gasolina")</f>
        <v>Transporte/gasolina</v>
      </c>
      <c r="C127" s="89">
        <f t="array" ref="C127">IFNA(
  LET(
    colaborador, TRIM(C$1),
    tipo, TRIM($B127),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27" s="89">
        <f t="array" ref="D127">IFNA(
  LET(
    colaborador, TRIM(D$1),
    tipo, TRIM($B127),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27" s="89">
        <f t="array" ref="E127">IFNA(
  LET(
    colaborador, TRIM(E$1),
    tipo, TRIM($B127),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27" s="89">
        <f t="array" ref="F127">IFNA(
  LET(
    colaborador, TRIM(F$1),
    tipo, TRIM($B127),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27" s="89">
        <f t="array" ref="G127">IFNA(
  LET(
    colaborador, TRIM(G$1),
    tipo, TRIM($B127),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27" s="89">
        <f t="array" ref="H127">IFNA(
  LET(
    colaborador, TRIM(H$1),
    tipo, TRIM($B127),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498.3</v>
      </c>
      <c r="I127" s="88">
        <f t="array" ref="I127">IFNA(
  LET(
    colaborador, TRIM(I$1),
    tipo, TRIM($B127),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27" s="88">
        <f t="array" ref="J127">IFNA(
  LET(
    colaborador, TRIM(J$1),
    tipo, TRIM($B127),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27" s="88">
        <f t="array" ref="K127">IFNA(
  LET(
    colaborador, TRIM(K$1),
    tipo, TRIM($B127),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27" s="88">
        <f t="array" ref="L127">IFNA(
  LET(
    colaborador, TRIM(L$1),
    tipo, TRIM($B127),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27" s="88">
        <f t="array" ref="M127">IFNA(
  LET(
    colaborador, TRIM(M$1),
    tipo, TRIM($B127),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27" s="88">
        <f t="array" ref="N127">IFNA(
  LET(
    colaborador, TRIM(N$1),
    tipo, TRIM($B127),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28">
      <c r="A128" s="90" t="s">
        <v>153</v>
      </c>
      <c r="B128" s="88" t="str">
        <f>IFERROR(__xludf.DUMMYFUNCTION("""COMPUTED_VALUE"""),"Crédito no Chip")</f>
        <v>Crédito no Chip</v>
      </c>
      <c r="C128" s="89">
        <f t="array" ref="C128">IFNA(
  LET(
    colaborador, TRIM(C$1),
    tipo, TRIM($B128),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28" s="89">
        <f t="array" ref="D128">IFNA(
  LET(
    colaborador, TRIM(D$1),
    tipo, TRIM($B128),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28" s="89">
        <f t="array" ref="E128">IFNA(
  LET(
    colaborador, TRIM(E$1),
    tipo, TRIM($B128),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28" s="89">
        <f t="array" ref="F128">IFNA(
  LET(
    colaborador, TRIM(F$1),
    tipo, TRIM($B128),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28" s="89">
        <f t="array" ref="G128">IFNA(
  LET(
    colaborador, TRIM(G$1),
    tipo, TRIM($B128),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28" s="89">
        <f t="array" ref="H128">IFNA(
  LET(
    colaborador, TRIM(H$1),
    tipo, TRIM($B128),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28" s="88">
        <f t="array" ref="I128">IFNA(
  LET(
    colaborador, TRIM(I$1),
    tipo, TRIM($B128),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30</v>
      </c>
      <c r="J128" s="88">
        <f t="array" ref="J128">IFNA(
  LET(
    colaborador, TRIM(J$1),
    tipo, TRIM($B128),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28" s="88">
        <f t="array" ref="K128">IFNA(
  LET(
    colaborador, TRIM(K$1),
    tipo, TRIM($B128),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28" s="88">
        <f t="array" ref="L128">IFNA(
  LET(
    colaborador, TRIM(L$1),
    tipo, TRIM($B128),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28" s="88">
        <f t="array" ref="M128">IFNA(
  LET(
    colaborador, TRIM(M$1),
    tipo, TRIM($B128),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28" s="88">
        <f t="array" ref="N128">IFNA(
  LET(
    colaborador, TRIM(N$1),
    tipo, TRIM($B128),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29">
      <c r="A129" s="90" t="s">
        <v>153</v>
      </c>
      <c r="B129" s="88" t="str">
        <f>IFERROR(__xludf.DUMMYFUNCTION("""COMPUTED_VALUE"""),"Compra de Ferramentas de Instalação")</f>
        <v>Compra de Ferramentas de Instalação</v>
      </c>
      <c r="C129" s="89">
        <f t="array" ref="C129">IFNA(
  LET(
    colaborador, TRIM(C$1),
    tipo, TRIM($B129),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29" s="89">
        <f t="array" ref="D129">IFNA(
  LET(
    colaborador, TRIM(D$1),
    tipo, TRIM($B129),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29" s="89">
        <f t="array" ref="E129">IFNA(
  LET(
    colaborador, TRIM(E$1),
    tipo, TRIM($B129),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29" s="89">
        <f t="array" ref="F129">IFNA(
  LET(
    colaborador, TRIM(F$1),
    tipo, TRIM($B129),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29" s="89">
        <f t="array" ref="G129">IFNA(
  LET(
    colaborador, TRIM(G$1),
    tipo, TRIM($B129),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29" s="89">
        <f t="array" ref="H129">IFNA(
  LET(
    colaborador, TRIM(H$1),
    tipo, TRIM($B129),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29" s="88" t="str">
        <f t="array" ref="I129">IFNA(
  LET(
    colaborador, TRIM(I$1),
    tipo, TRIM($B129),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/>
      </c>
      <c r="J129" s="88">
        <f t="array" ref="J129">IFNA(
  LET(
    colaborador, TRIM(J$1),
    tipo, TRIM($B129),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29" s="88">
        <f t="array" ref="K129">IFNA(
  LET(
    colaborador, TRIM(K$1),
    tipo, TRIM($B129),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29" s="88">
        <f t="array" ref="L129">IFNA(
  LET(
    colaborador, TRIM(L$1),
    tipo, TRIM($B129),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29" s="88">
        <f t="array" ref="M129">IFNA(
  LET(
    colaborador, TRIM(M$1),
    tipo, TRIM($B129),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29" s="88">
        <f t="array" ref="N129">IFNA(
  LET(
    colaborador, TRIM(N$1),
    tipo, TRIM($B129),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30">
      <c r="A130" s="90" t="s">
        <v>153</v>
      </c>
      <c r="B130" s="88" t="str">
        <f>IFERROR(__xludf.DUMMYFUNCTION("""COMPUTED_VALUE"""),"Curso Revit 7/12")</f>
        <v>Curso Revit 7/12</v>
      </c>
      <c r="C130" s="89">
        <f t="array" ref="C130">IFNA(
  LET(
    colaborador, TRIM(C$1),
    tipo, TRIM($B130),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30" s="89">
        <f t="array" ref="D130">IFNA(
  LET(
    colaborador, TRIM(D$1),
    tipo, TRIM($B130),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30" s="89">
        <f t="array" ref="E130">IFNA(
  LET(
    colaborador, TRIM(E$1),
    tipo, TRIM($B130),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30" s="89">
        <f t="array" ref="F130">IFNA(
  LET(
    colaborador, TRIM(F$1),
    tipo, TRIM($B130),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30" s="89">
        <f t="array" ref="G130">IFNA(
  LET(
    colaborador, TRIM(G$1),
    tipo, TRIM($B130),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30" s="89">
        <f t="array" ref="H130">IFNA(
  LET(
    colaborador, TRIM(H$1),
    tipo, TRIM($B130),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30" s="88">
        <f t="array" ref="I130">IFNA(
  LET(
    colaborador, TRIM(I$1),
    tipo, TRIM($B130),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30" s="88">
        <f t="array" ref="J130">IFNA(
  LET(
    colaborador, TRIM(J$1),
    tipo, TRIM($B130),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103.11</v>
      </c>
      <c r="K130" s="88">
        <f t="array" ref="K130">IFNA(
  LET(
    colaborador, TRIM(K$1),
    tipo, TRIM($B130),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30" s="88">
        <f t="array" ref="L130">IFNA(
  LET(
    colaborador, TRIM(L$1),
    tipo, TRIM($B130),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30" s="88">
        <f t="array" ref="M130">IFNA(
  LET(
    colaborador, TRIM(M$1),
    tipo, TRIM($B130),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30" s="88">
        <f t="array" ref="N130">IFNA(
  LET(
    colaborador, TRIM(N$1),
    tipo, TRIM($B130),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31">
      <c r="A131" s="90" t="s">
        <v>153</v>
      </c>
      <c r="B131" s="88" t="str">
        <f>IFERROR(__xludf.DUMMYFUNCTION("""COMPUTED_VALUE"""),"Crédito no Chip bot")</f>
        <v>Crédito no Chip bot</v>
      </c>
      <c r="C131" s="89">
        <f t="array" ref="C131">IFNA(
  LET(
    colaborador, TRIM(C$1),
    tipo, TRIM($B131),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31" s="89">
        <f t="array" ref="D131">IFNA(
  LET(
    colaborador, TRIM(D$1),
    tipo, TRIM($B131),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31" s="89">
        <f t="array" ref="E131">IFNA(
  LET(
    colaborador, TRIM(E$1),
    tipo, TRIM($B131),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31" s="89">
        <f t="array" ref="F131">IFNA(
  LET(
    colaborador, TRIM(F$1),
    tipo, TRIM($B131),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31" s="89">
        <f t="array" ref="G131">IFNA(
  LET(
    colaborador, TRIM(G$1),
    tipo, TRIM($B131),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31" s="89">
        <f t="array" ref="H131">IFNA(
  LET(
    colaborador, TRIM(H$1),
    tipo, TRIM($B131),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31" s="88">
        <f t="array" ref="I131">IFNA(
  LET(
    colaborador, TRIM(I$1),
    tipo, TRIM($B131),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31" s="88">
        <f t="array" ref="J131">IFNA(
  LET(
    colaborador, TRIM(J$1),
    tipo, TRIM($B131),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31" s="88">
        <f t="array" ref="K131">IFNA(
  LET(
    colaborador, TRIM(K$1),
    tipo, TRIM($B131),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60</v>
      </c>
      <c r="L131" s="88">
        <f t="array" ref="L131">IFNA(
  LET(
    colaborador, TRIM(L$1),
    tipo, TRIM($B131),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31" s="88">
        <f t="array" ref="M131">IFNA(
  LET(
    colaborador, TRIM(M$1),
    tipo, TRIM($B131),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31" s="88">
        <f t="array" ref="N131">IFNA(
  LET(
    colaborador, TRIM(N$1),
    tipo, TRIM($B131),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32">
      <c r="A132" s="90" t="s">
        <v>153</v>
      </c>
      <c r="B132" s="88" t="str">
        <f>IFERROR(__xludf.DUMMYFUNCTION("""COMPUTED_VALUE"""),"gasolina")</f>
        <v>gasolina</v>
      </c>
      <c r="C132" s="89">
        <f t="array" ref="C132">IFNA(
  LET(
    colaborador, TRIM(C$1),
    tipo, TRIM($B132),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32" s="89">
        <f t="array" ref="D132">IFNA(
  LET(
    colaborador, TRIM(D$1),
    tipo, TRIM($B132),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32" s="89">
        <f t="array" ref="E132">IFNA(
  LET(
    colaborador, TRIM(E$1),
    tipo, TRIM($B132),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32" s="89">
        <f t="array" ref="F132">IFNA(
  LET(
    colaborador, TRIM(F$1),
    tipo, TRIM($B132),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32" s="89">
        <f t="array" ref="G132">IFNA(
  LET(
    colaborador, TRIM(G$1),
    tipo, TRIM($B132),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32" s="89">
        <f t="array" ref="H132">IFNA(
  LET(
    colaborador, TRIM(H$1),
    tipo, TRIM($B132),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32" s="88">
        <f t="array" ref="I132">IFNA(
  LET(
    colaborador, TRIM(I$1),
    tipo, TRIM($B132),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32" s="88">
        <f t="array" ref="J132">IFNA(
  LET(
    colaborador, TRIM(J$1),
    tipo, TRIM($B132),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32" s="88">
        <f t="array" ref="K132">IFNA(
  LET(
    colaborador, TRIM(K$1),
    tipo, TRIM($B132),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32" s="88" t="str">
        <f t="array" ref="L132">IFNA(
  LET(
    colaborador, TRIM(L$1),
    tipo, TRIM($B132),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/>
      </c>
      <c r="M132" s="88">
        <f t="array" ref="M132">IFNA(
  LET(
    colaborador, TRIM(M$1),
    tipo, TRIM($B132),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32" s="88">
        <f t="array" ref="N132">IFNA(
  LET(
    colaborador, TRIM(N$1),
    tipo, TRIM($B132),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33">
      <c r="A133" s="90" t="s">
        <v>153</v>
      </c>
      <c r="B133" s="88" t="str">
        <f>IFERROR(__xludf.DUMMYFUNCTION("""COMPUTED_VALUE"""),"Compras de Material leparc")</f>
        <v>Compras de Material leparc</v>
      </c>
      <c r="C133" s="89">
        <f t="array" ref="C133">IFNA(
  LET(
    colaborador, TRIM(C$1),
    tipo, TRIM($B133),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33" s="89">
        <f t="array" ref="D133">IFNA(
  LET(
    colaborador, TRIM(D$1),
    tipo, TRIM($B133),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33" s="89">
        <f t="array" ref="E133">IFNA(
  LET(
    colaborador, TRIM(E$1),
    tipo, TRIM($B133),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33" s="89">
        <f t="array" ref="F133">IFNA(
  LET(
    colaborador, TRIM(F$1),
    tipo, TRIM($B133),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33" s="89">
        <f t="array" ref="G133">IFNA(
  LET(
    colaborador, TRIM(G$1),
    tipo, TRIM($B133),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33" s="89">
        <f t="array" ref="H133">IFNA(
  LET(
    colaborador, TRIM(H$1),
    tipo, TRIM($B133),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33" s="88">
        <f t="array" ref="I133">IFNA(
  LET(
    colaborador, TRIM(I$1),
    tipo, TRIM($B133),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33" s="88">
        <f t="array" ref="J133">IFNA(
  LET(
    colaborador, TRIM(J$1),
    tipo, TRIM($B133),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33" s="88">
        <f t="array" ref="K133">IFNA(
  LET(
    colaborador, TRIM(K$1),
    tipo, TRIM($B133),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33" s="88" t="str">
        <f t="array" ref="L133">IFNA(
  LET(
    colaborador, TRIM(L$1),
    tipo, TRIM($B133),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/>
      </c>
      <c r="M133" s="88">
        <f t="array" ref="M133">IFNA(
  LET(
    colaborador, TRIM(M$1),
    tipo, TRIM($B133),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33" s="88">
        <f t="array" ref="N133">IFNA(
  LET(
    colaborador, TRIM(N$1),
    tipo, TRIM($B133),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34">
      <c r="A134" s="90" t="s">
        <v>153</v>
      </c>
      <c r="B134" s="88" t="str">
        <f>IFERROR(__xludf.DUMMYFUNCTION("""COMPUTED_VALUE"""),"almoço")</f>
        <v>almoço</v>
      </c>
      <c r="C134" s="89">
        <f t="array" ref="C134">IFNA(
  LET(
    colaborador, TRIM(C$1),
    tipo, TRIM($B134),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34" s="89">
        <f t="array" ref="D134">IFNA(
  LET(
    colaborador, TRIM(D$1),
    tipo, TRIM($B134),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34" s="89">
        <f t="array" ref="E134">IFNA(
  LET(
    colaborador, TRIM(E$1),
    tipo, TRIM($B134),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34" s="89">
        <f t="array" ref="F134">IFNA(
  LET(
    colaborador, TRIM(F$1),
    tipo, TRIM($B134),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34" s="89">
        <f t="array" ref="G134">IFNA(
  LET(
    colaborador, TRIM(G$1),
    tipo, TRIM($B134),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34" s="89">
        <f t="array" ref="H134">IFNA(
  LET(
    colaborador, TRIM(H$1),
    tipo, TRIM($B134),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34" s="88">
        <f t="array" ref="I134">IFNA(
  LET(
    colaborador, TRIM(I$1),
    tipo, TRIM($B134),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34" s="88">
        <f t="array" ref="J134">IFNA(
  LET(
    colaborador, TRIM(J$1),
    tipo, TRIM($B134),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34" s="88">
        <f t="array" ref="K134">IFNA(
  LET(
    colaborador, TRIM(K$1),
    tipo, TRIM($B134),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34" s="88" t="str">
        <f t="array" ref="L134">IFNA(
  LET(
    colaborador, TRIM(L$1),
    tipo, TRIM($B134),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/>
      </c>
      <c r="M134" s="88">
        <f t="array" ref="M134">IFNA(
  LET(
    colaborador, TRIM(M$1),
    tipo, TRIM($B134),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34" s="88">
        <f t="array" ref="N134">IFNA(
  LET(
    colaborador, TRIM(N$1),
    tipo, TRIM($B134),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35">
      <c r="A135" s="90" t="s">
        <v>153</v>
      </c>
      <c r="B135" s="88" t="str">
        <f>IFERROR(__xludf.DUMMYFUNCTION("""COMPUTED_VALUE"""),"Hospedagem")</f>
        <v>Hospedagem</v>
      </c>
      <c r="C135" s="89">
        <f t="array" ref="C135">IFNA(
  LET(
    colaborador, TRIM(C$1),
    tipo, TRIM($B135),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35" s="89">
        <f t="array" ref="D135">IFNA(
  LET(
    colaborador, TRIM(D$1),
    tipo, TRIM($B135),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35" s="89">
        <f t="array" ref="E135">IFNA(
  LET(
    colaborador, TRIM(E$1),
    tipo, TRIM($B135),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35" s="89">
        <f t="array" ref="F135">IFNA(
  LET(
    colaborador, TRIM(F$1),
    tipo, TRIM($B135),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35" s="89">
        <f t="array" ref="G135">IFNA(
  LET(
    colaborador, TRIM(G$1),
    tipo, TRIM($B135),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35" s="89">
        <f t="array" ref="H135">IFNA(
  LET(
    colaborador, TRIM(H$1),
    tipo, TRIM($B135),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35" s="88">
        <f t="array" ref="I135">IFNA(
  LET(
    colaborador, TRIM(I$1),
    tipo, TRIM($B135),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35" s="88">
        <f t="array" ref="J135">IFNA(
  LET(
    colaborador, TRIM(J$1),
    tipo, TRIM($B135),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35" s="88">
        <f t="array" ref="K135">IFNA(
  LET(
    colaborador, TRIM(K$1),
    tipo, TRIM($B135),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35" s="88">
        <f t="array" ref="L135">IFNA(
  LET(
    colaborador, TRIM(L$1),
    tipo, TRIM($B135),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35" s="88">
        <f t="array" ref="M135">IFNA(
  LET(
    colaborador, TRIM(M$1),
    tipo, TRIM($B135),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35" s="88">
        <f t="array" ref="N135">IFNA(
  LET(
    colaborador, TRIM(N$1),
    tipo, TRIM($B135),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36">
      <c r="A136" s="90" t="s">
        <v>153</v>
      </c>
      <c r="B136" s="88" t="str">
        <f>IFERROR(__xludf.DUMMYFUNCTION("""COMPUTED_VALUE"""),"Curso SaaS")</f>
        <v>Curso SaaS</v>
      </c>
      <c r="C136" s="89">
        <f t="array" ref="C136">IFNA(
  LET(
    colaborador, TRIM(C$1),
    tipo, TRIM($B136),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D136" s="89">
        <f t="array" ref="D136">IFNA(
  LET(
    colaborador, TRIM(D$1),
    tipo, TRIM($B136),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36" s="89">
        <f t="array" ref="E136">IFNA(
  LET(
    colaborador, TRIM(E$1),
    tipo, TRIM($B136),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36" s="89">
        <f t="array" ref="F136">IFNA(
  LET(
    colaborador, TRIM(F$1),
    tipo, TRIM($B136),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36" s="89">
        <f t="array" ref="G136">IFNA(
  LET(
    colaborador, TRIM(G$1),
    tipo, TRIM($B136),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H136" s="89">
        <f t="array" ref="H136">IFNA(
  LET(
    colaborador, TRIM(H$1),
    tipo, TRIM($B136),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I136" s="88">
        <f t="array" ref="I136">IFNA(
  LET(
    colaborador, TRIM(I$1),
    tipo, TRIM($B136),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J136" s="88">
        <f t="array" ref="J136">IFNA(
  LET(
    colaborador, TRIM(J$1),
    tipo, TRIM($B136),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K136" s="88">
        <f t="array" ref="K136">IFNA(
  LET(
    colaborador, TRIM(K$1),
    tipo, TRIM($B136),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L136" s="88">
        <f t="array" ref="L136">IFNA(
  LET(
    colaborador, TRIM(L$1),
    tipo, TRIM($B136),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M136" s="88">
        <f t="array" ref="M136">IFNA(
  LET(
    colaborador, TRIM(M$1),
    tipo, TRIM($B136),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  <c r="N136" s="88">
        <f t="array" ref="N136">IFNA(
  LET(
    colaborador, TRIM(N$1),
    tipo, TRIM($B136),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>0</v>
      </c>
    </row>
    <row r="137">
      <c r="A137" s="90" t="s">
        <v>153</v>
      </c>
      <c r="B137" s="88"/>
      <c r="C137" s="89" t="str">
        <f t="array" ref="C137">IFNA(
  LET(
    colaborador, TRIM(C$1),
    tipo, TRIM($B137),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/>
      </c>
      <c r="D137" s="89">
        <f t="array" ref="D137">IFNA(
  LET(
    colaborador, TRIM(D$1),
    tipo, TRIM($B137),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E137" s="89">
        <f t="array" ref="E137">IFNA(
  LET(
    colaborador, TRIM(E$1),
    tipo, TRIM($B137),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F137" s="89">
        <f t="array" ref="F137">IFNA(
  LET(
    colaborador, TRIM(F$1),
    tipo, TRIM($B137),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>0</v>
      </c>
      <c r="G137" s="89" t="str">
        <f t="array" ref="G137">IFNA(
  LET(
    colaborador, TRIM(G$1),
    tipo, TRIM($B137),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/>
      </c>
      <c r="H137" s="89" t="str">
        <f t="array" ref="H137">IFNA(
  LET(
    colaborador, TRIM(H$1),
    tipo, TRIM($B137),
    linhaColab, MATCH(colaborador, Abril26!$B:$B, 0),
    linhaTotal, MATCH("Total", INDEX(Abril26!$B:$B, linhaColab+1):Abril26!$B:$B, 0) + linhaColab,
    faixaTipos, INDEX(Abril26!$B:$B, linhaColab+2):INDEX(Abril26!$B:$B, linhaTotal-1),
    faixaValores, INDEX(Abril26!$C:$C, linhaColab+2):INDEX(Abril26!$C:$C, linhaTotal-1),
    INDEX(
      faixaValores,
      MATCH(TRUE, LOWER(TRIM(faixaTipos))=LOWER(tipo), 0)
    )
  ),
  0
)</f>
        <v/>
      </c>
      <c r="I137" s="88" t="str">
        <f t="array" ref="I137">IFNA(
  LET(
    colaborador, TRIM(I$1),
    tipo, TRIM($B137),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/>
      </c>
      <c r="J137" s="88" t="str">
        <f t="array" ref="J137">IFNA(
  LET(
    colaborador, TRIM(J$1),
    tipo, TRIM($B137),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/>
      </c>
      <c r="K137" s="88" t="str">
        <f t="array" ref="K137">IFNA(
  LET(
    colaborador, TRIM(K$1),
    tipo, TRIM($B137),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/>
      </c>
      <c r="L137" s="88" t="str">
        <f t="array" ref="L137">IFNA(
  LET(
    colaborador, TRIM(L$1),
    tipo, TRIM($B137),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/>
      </c>
      <c r="M137" s="88" t="str">
        <f t="array" ref="M137">IFNA(
  LET(
    colaborador, TRIM(M$1),
    tipo, TRIM($B137),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/>
      </c>
      <c r="N137" s="88" t="str">
        <f t="array" ref="N137">IFNA(
  LET(
    colaborador, TRIM(N$1),
    tipo, TRIM($B137),
    linhaColab, MATCH(colaborador, Abril26!$F:$F, 0),
    linhaTotal, MATCH("Total", INDEX(Abril26!$F:$F, linhaColab+1):Abril26!$F:$F, 0) + linhaColab,
    faixaTipos, INDEX(Abril26!$F:$F, linhaColab+2):INDEX(Abril26!$F:$F, linhaTotal-1),
    faixaValores, INDEX(Abril26!$G:$G, linhaColab+2):INDEX(Abril26!$G:$G, linhaTotal-1),
    INDEX(
      faixaValores,
      MATCH(TRUE, LOWER(TRIM(faixaTipos))=LOWER(tipo), 0)
    )
  ),
  0
)</f>
        <v/>
      </c>
    </row>
    <row r="138">
      <c r="A138" s="91" t="s">
        <v>153</v>
      </c>
      <c r="B138" s="92" t="s">
        <v>150</v>
      </c>
      <c r="C138" s="93">
        <f t="shared" ref="C138:N138" si="4">SUM(C106:C137)</f>
        <v>1231.42</v>
      </c>
      <c r="D138" s="93">
        <f t="shared" si="4"/>
        <v>866.11</v>
      </c>
      <c r="E138" s="93">
        <f t="shared" si="4"/>
        <v>932.51</v>
      </c>
      <c r="F138" s="93">
        <f t="shared" si="4"/>
        <v>1046.35</v>
      </c>
      <c r="G138" s="93">
        <f t="shared" si="4"/>
        <v>529.7</v>
      </c>
      <c r="H138" s="93">
        <f t="shared" si="4"/>
        <v>498.3</v>
      </c>
      <c r="I138" s="93">
        <f t="shared" si="4"/>
        <v>30</v>
      </c>
      <c r="J138" s="93">
        <f t="shared" si="4"/>
        <v>103.11</v>
      </c>
      <c r="K138" s="93">
        <f t="shared" si="4"/>
        <v>144.06</v>
      </c>
      <c r="L138" s="93">
        <f t="shared" si="4"/>
        <v>204.24</v>
      </c>
      <c r="M138" s="93">
        <f t="shared" si="4"/>
        <v>109.31</v>
      </c>
      <c r="N138" s="93">
        <f t="shared" si="4"/>
        <v>143.2</v>
      </c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</row>
  </sheetData>
  <drawing r:id="rId1"/>
</worksheet>
</file>