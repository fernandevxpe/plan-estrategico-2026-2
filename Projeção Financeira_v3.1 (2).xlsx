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ão Geral" sheetId="1" r:id="rId4"/>
    <sheet state="visible" name="Premissas gerais" sheetId="2" r:id="rId5"/>
    <sheet state="visible" name="Projeção Biel Ajustada" sheetId="3" r:id="rId6"/>
    <sheet state="visible" name="Projeção Projetos Joni" sheetId="4" r:id="rId7"/>
    <sheet state="visible" name="Projeção Base" sheetId="5" r:id="rId8"/>
    <sheet state="hidden" name="Reformas" sheetId="6" r:id="rId9"/>
    <sheet state="visible" name="Única coisa" sheetId="7" r:id="rId10"/>
    <sheet state="hidden" name="Cronograma PE XPE" sheetId="8" r:id="rId11"/>
    <sheet state="visible" name="Sala material" sheetId="9" r:id="rId12"/>
    <sheet state="visible" name="Fernando" sheetId="10" r:id="rId13"/>
    <sheet state="visible" name="Projeção Biel" sheetId="11" r:id="rId14"/>
    <sheet state="visible" name="Máquina de Indicações" sheetId="12" r:id="rId15"/>
  </sheets>
  <definedNames/>
  <calcPr/>
  <extLst>
    <ext uri="GoogleSheetsCustomDataVersion2">
      <go:sheetsCustomData xmlns:go="http://customooxmlschemas.google.com/" r:id="rId16" roundtripDataChecksum="2Gd9LW9KATrnFv+jjXWc6tn4036hREd0Jb15gRgiCm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6">
      <text>
        <t xml:space="preserve">======
ID#AAABxq7kJeg
Fernando Siqueira    (2025-12-19 02:06:46)
Acelerar indicadores de conversão e ticket e resultados, acelera as faixas. ticket médio, setup, MRR, taxas de conversão</t>
      </text>
    </comment>
    <comment authorId="0" ref="A67">
      <text>
        <t xml:space="preserve">======
ID#AAABxq7kJec
Fernando Siqueira    (2025-12-19 02:05:22)
Todas automações + Clickup diminui CAC e aumenta o CS
+1k e audrey</t>
      </text>
    </comment>
    <comment authorId="0" ref="A71">
      <text>
        <t xml:space="preserve">======
ID#AAABxq7kJeY
Fernando Siqueira    (2025-12-19 01:47:40)
Mesmo indicador que Mcgyver</t>
      </text>
    </comment>
    <comment authorId="0" ref="A70">
      <text>
        <t xml:space="preserve">======
ID#AAABxq7kJeU
Fernando Siqueira    (2025-12-19 01:47:08)
Suposição atralada ao desenvolvimento do Smart charge XPE e faturamento com SETUP &gt; R$ 30.000</t>
      </text>
    </comment>
    <comment authorId="0" ref="A85">
      <text>
        <t xml:space="preserve">======
ID#AAABxq7kJeE
Fernando Siqueira    (2025-12-19 01:44:31)
Centralizar toda geração de faturas em 1 pessoa (Pichilau, SMC, SCM, Pental, BRA, Rio Ave...)</t>
      </text>
    </comment>
    <comment authorId="0" ref="A87">
      <text>
        <t xml:space="preserve">======
ID#AAABxq7kJeA
Fernando Siqueira    (2025-12-19 01:41:29)
Faz sentido continuar? Vai querer continuar? Conversar</t>
      </text>
    </comment>
    <comment authorId="0" ref="A79">
      <text>
        <t xml:space="preserve">======
ID#AAABxq7kJd8
Fernando Siqueira    (2025-12-19 01:40:55)
Faz sentido manter 2k se explorar as edições mensais de criativos.</t>
      </text>
    </comment>
    <comment authorId="0" ref="A80">
      <text>
        <t xml:space="preserve">======
ID#AAABxq7kJd4
Fernando Siqueira    (2025-12-19 01:39:26)
Aumentar para postagens e conteúdos todos os dias.</t>
      </text>
    </comment>
    <comment authorId="0" ref="A84">
      <text>
        <t xml:space="preserve">======
ID#AAABxq7kJd0
Fernando Siqueira    (2025-12-19 01:32:21)
- Selecta sem pagar é prejuízo -4k de receita. 
-Cleber necessariamente fica limitado. Deve atuar em projetos e revisões (treinamento) e fazer a gestão Pichilau (2k -&gt;3k)
- Não vamos prospectar novos clientes.</t>
      </text>
    </comment>
  </commentList>
  <extLst>
    <ext uri="GoogleSheetsCustomDataVersion2">
      <go:sheetsCustomData xmlns:go="http://customooxmlschemas.google.com/" r:id="rId1" roundtripDataSignature="AMtx7mhJ8SV6gO1/QiFchY1FwvJJXl3F0Q=="/>
    </ext>
  </extLst>
</comments>
</file>

<file path=xl/sharedStrings.xml><?xml version="1.0" encoding="utf-8"?>
<sst xmlns="http://schemas.openxmlformats.org/spreadsheetml/2006/main" count="865" uniqueCount="547">
  <si>
    <t xml:space="preserve">Período  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</si>
  <si>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</si>
  <si>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</si>
  <si>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</si>
  <si>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</si>
  <si>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</si>
  <si>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</si>
  <si>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</si>
  <si>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</si>
  <si>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</si>
  <si>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</si>
  <si>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</si>
  <si>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</si>
  <si>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Fontes de Receita (+)</t>
  </si>
  <si>
    <t>Quantidada de Projetos Fechados Consultoria</t>
  </si>
  <si>
    <t>Resultado Anual 2026 - Projetado</t>
  </si>
  <si>
    <t xml:space="preserve">Flags </t>
  </si>
  <si>
    <t>Valor Por Cliente</t>
  </si>
  <si>
    <t>Quantidada de Projetos Fechados Obra</t>
  </si>
  <si>
    <t>Receitas</t>
  </si>
  <si>
    <t>Reserva de Caixa</t>
  </si>
  <si>
    <t>Receita Base</t>
  </si>
  <si>
    <t>CSP</t>
  </si>
  <si>
    <t>Reserva de Brindes Clientes</t>
  </si>
  <si>
    <t>Assinaturas</t>
  </si>
  <si>
    <t>Lucro Bruto</t>
  </si>
  <si>
    <t>Reserva de Eventos</t>
  </si>
  <si>
    <t>Bra</t>
  </si>
  <si>
    <t>Margem Bruta</t>
  </si>
  <si>
    <t>Reserva de Brindes Membros</t>
  </si>
  <si>
    <t>Consultorias 2025</t>
  </si>
  <si>
    <t>Despesas</t>
  </si>
  <si>
    <t>Obras 2025</t>
  </si>
  <si>
    <t>Lucro Operacional (Ebitda)</t>
  </si>
  <si>
    <t>Margem Ebitda</t>
  </si>
  <si>
    <t>Meta de Contratos</t>
  </si>
  <si>
    <t>1q</t>
  </si>
  <si>
    <t>2q</t>
  </si>
  <si>
    <t>3q</t>
  </si>
  <si>
    <t>4q</t>
  </si>
  <si>
    <t>Total</t>
  </si>
  <si>
    <t>Consultoria</t>
  </si>
  <si>
    <t xml:space="preserve">Despesas Financeiras </t>
  </si>
  <si>
    <t>Consultorias</t>
  </si>
  <si>
    <t>Vendas de Consultora</t>
  </si>
  <si>
    <t xml:space="preserve">Impostos </t>
  </si>
  <si>
    <t>Obras</t>
  </si>
  <si>
    <t xml:space="preserve">Lucro Líquido </t>
  </si>
  <si>
    <t>Plataforma</t>
  </si>
  <si>
    <t>Margem Líquida</t>
  </si>
  <si>
    <t>Plataforma Ger. Carr</t>
  </si>
  <si>
    <t>Setup</t>
  </si>
  <si>
    <t>Vendas de Obras</t>
  </si>
  <si>
    <t>MRR Plataforma</t>
  </si>
  <si>
    <t>MRR Plataforma de Geren. de Carr</t>
  </si>
  <si>
    <t>Custos Operação (-)</t>
  </si>
  <si>
    <t>Comissão de Vendas</t>
  </si>
  <si>
    <t>Materiais de Obras</t>
  </si>
  <si>
    <t>Custos de Execução de Obras (Transporte e alimentação)</t>
  </si>
  <si>
    <t>Custo do Serviço Prestado Consult.</t>
  </si>
  <si>
    <t>Materiais de Consultoria</t>
  </si>
  <si>
    <t>Despesas Financeiras (-)</t>
  </si>
  <si>
    <t>Alíquota Simples Nacional</t>
  </si>
  <si>
    <t>Impostos sobre o Faturamento</t>
  </si>
  <si>
    <t>INSS</t>
  </si>
  <si>
    <t>CIM</t>
  </si>
  <si>
    <t>Pagamento do Empréstimo Caixa</t>
  </si>
  <si>
    <t>Tarifas Bancárias</t>
  </si>
  <si>
    <t>Custos Fixos (-)</t>
  </si>
  <si>
    <t>Escritório, Jurídico, Contábil e Outros</t>
  </si>
  <si>
    <t>Escritório (água, luz, internet, energia, infra. e copa)</t>
  </si>
  <si>
    <t>Jurídico e Contábil</t>
  </si>
  <si>
    <t>Custos Fixos Time + Marketing</t>
  </si>
  <si>
    <t>Equipe Base</t>
  </si>
  <si>
    <t xml:space="preserve">Gestão de Trafego e Redes Sociais </t>
  </si>
  <si>
    <t>Investimento em Mídia</t>
  </si>
  <si>
    <t>Custos Variáveis</t>
  </si>
  <si>
    <t>Alimentação, Transporte e Reembolsos</t>
  </si>
  <si>
    <t>Imersão</t>
  </si>
  <si>
    <t>Reserva Membros</t>
  </si>
  <si>
    <t>Reserva Eventos</t>
  </si>
  <si>
    <t>Reserva para parceiros</t>
  </si>
  <si>
    <t>Cartão de Crédito</t>
  </si>
  <si>
    <t>Reforma da Sala</t>
  </si>
  <si>
    <t>Extras</t>
  </si>
  <si>
    <t>Ebtida</t>
  </si>
  <si>
    <t>Faturamento Total</t>
  </si>
  <si>
    <t>Custos Fixos</t>
  </si>
  <si>
    <t>Custo de Operação</t>
  </si>
  <si>
    <t>Lucro Líquido</t>
  </si>
  <si>
    <t>Funil de Vendas</t>
  </si>
  <si>
    <t>Numero</t>
  </si>
  <si>
    <t>/Dias</t>
  </si>
  <si>
    <t>Indicadores</t>
  </si>
  <si>
    <t>Taxa</t>
  </si>
  <si>
    <t>Custo Unitário</t>
  </si>
  <si>
    <t>Curvas Base / Meses</t>
  </si>
  <si>
    <t>Contato</t>
  </si>
  <si>
    <t>Histórico 2025</t>
  </si>
  <si>
    <t>Qtd. Vendedores</t>
  </si>
  <si>
    <t>Lead</t>
  </si>
  <si>
    <t>Lead/Contato</t>
  </si>
  <si>
    <t>Faturamento Anual</t>
  </si>
  <si>
    <t>Ref. 2º Sem 2025</t>
  </si>
  <si>
    <t>-</t>
  </si>
  <si>
    <t>XPEG</t>
  </si>
  <si>
    <t>Visita</t>
  </si>
  <si>
    <t>Visita/Lead</t>
  </si>
  <si>
    <t>Vendedor</t>
  </si>
  <si>
    <t>Apresentações/Proposts</t>
  </si>
  <si>
    <t>Apresentação/Visita</t>
  </si>
  <si>
    <t>Fechamento</t>
  </si>
  <si>
    <t>Fechamento/Apresentação</t>
  </si>
  <si>
    <t>Pós-venda</t>
  </si>
  <si>
    <t>Pós-venda/Fechamento</t>
  </si>
  <si>
    <t>Período de Análise (meses)</t>
  </si>
  <si>
    <t>Fechamento Mensal</t>
  </si>
  <si>
    <t>Total Orçado</t>
  </si>
  <si>
    <t>Total Fechado</t>
  </si>
  <si>
    <t>Fechado/Orçado (R$)</t>
  </si>
  <si>
    <t>Qtd Total de Orçamentos</t>
  </si>
  <si>
    <t>Qtd Total de Fechamentos</t>
  </si>
  <si>
    <t>Fechado/Orçado (Qtd)</t>
  </si>
  <si>
    <t>Histórico de Orçamentos</t>
  </si>
  <si>
    <t>Indicadores por Vendedor por Mês</t>
  </si>
  <si>
    <t>Indicadores Originais 2025</t>
  </si>
  <si>
    <t>Taxa (%)</t>
  </si>
  <si>
    <t>Valor Simulado</t>
  </si>
  <si>
    <t>Projeção Simplificada</t>
  </si>
  <si>
    <t>Mês</t>
  </si>
  <si>
    <t>Ano</t>
  </si>
  <si>
    <t>antes</t>
  </si>
  <si>
    <t>Qtd. de Vendedores</t>
  </si>
  <si>
    <t>Qtd de Vendedores</t>
  </si>
  <si>
    <t>dinheiro em caixa</t>
  </si>
  <si>
    <t>Qtd. Contatos</t>
  </si>
  <si>
    <t>Qtd de Contatos</t>
  </si>
  <si>
    <t>Contatos</t>
  </si>
  <si>
    <t>Qtd. Lead</t>
  </si>
  <si>
    <t>Qtd. Visita</t>
  </si>
  <si>
    <t>Qtd. Apresentações</t>
  </si>
  <si>
    <t>Apresentações</t>
  </si>
  <si>
    <t>Qtd. Fechamento</t>
  </si>
  <si>
    <t>Qtd. Pós-venda</t>
  </si>
  <si>
    <t>Orçamentos/Visita</t>
  </si>
  <si>
    <t>Faturamento</t>
  </si>
  <si>
    <t>Fechamento/Orçamento</t>
  </si>
  <si>
    <t>Qtd. Orçamentos</t>
  </si>
  <si>
    <t>Orçamentos/mês</t>
  </si>
  <si>
    <t>Qtd. Fechamentos</t>
  </si>
  <si>
    <t>Fechamentos/mês</t>
  </si>
  <si>
    <t>Ticket Médio</t>
  </si>
  <si>
    <t>Novo Ticket Médio</t>
  </si>
  <si>
    <t>Faturamento Mensal/Vendedor</t>
  </si>
  <si>
    <t>Margem Lucro Operacional</t>
  </si>
  <si>
    <t>R$</t>
  </si>
  <si>
    <t>%</t>
  </si>
  <si>
    <t>Imposto</t>
  </si>
  <si>
    <t>Custo Operacional</t>
  </si>
  <si>
    <t>Custo de Vendas</t>
  </si>
  <si>
    <t>Orçamento Mkt + CS + Relac.</t>
  </si>
  <si>
    <t>Prática 1/4 cai no mês</t>
  </si>
  <si>
    <t>Custo Fixo</t>
  </si>
  <si>
    <t>Aluguel + Dívida</t>
  </si>
  <si>
    <t>Outros custos</t>
  </si>
  <si>
    <t>Hoje</t>
  </si>
  <si>
    <t>Projetado 2026</t>
  </si>
  <si>
    <t>Ticket</t>
  </si>
  <si>
    <t>Margens dos Projetos</t>
  </si>
  <si>
    <t>Qtd. Mensal</t>
  </si>
  <si>
    <t>Qtd.</t>
  </si>
  <si>
    <t>Mão de obra</t>
  </si>
  <si>
    <t>Custo Hoje</t>
  </si>
  <si>
    <t>Custo futuro</t>
  </si>
  <si>
    <t>Disponibilidade</t>
  </si>
  <si>
    <t>Projeto* CDM</t>
  </si>
  <si>
    <t>Laudo + G. Risco</t>
  </si>
  <si>
    <t>Custo bruto folha</t>
  </si>
  <si>
    <t>atual</t>
  </si>
  <si>
    <t>Fev</t>
  </si>
  <si>
    <t>Julho</t>
  </si>
  <si>
    <t>Dez</t>
  </si>
  <si>
    <t>Jonildo</t>
  </si>
  <si>
    <t>Gabriel</t>
  </si>
  <si>
    <t xml:space="preserve">Igor </t>
  </si>
  <si>
    <t>500k</t>
  </si>
  <si>
    <t>Fernando</t>
  </si>
  <si>
    <t>Belo</t>
  </si>
  <si>
    <t>Decézaris</t>
  </si>
  <si>
    <t>Adryan</t>
  </si>
  <si>
    <t>Macgyver</t>
  </si>
  <si>
    <t>Diogo</t>
  </si>
  <si>
    <t>Audrey</t>
  </si>
  <si>
    <t>Est. Igor</t>
  </si>
  <si>
    <t>Est. P. Araújo</t>
  </si>
  <si>
    <t>Est. Tawanny</t>
  </si>
  <si>
    <t>Leon</t>
  </si>
  <si>
    <t>Jurídico</t>
  </si>
  <si>
    <t>Contabilidade</t>
  </si>
  <si>
    <t>Tráfego Pago</t>
  </si>
  <si>
    <t>Marketing</t>
  </si>
  <si>
    <t>RH</t>
  </si>
  <si>
    <t>Est. P. Barroso</t>
  </si>
  <si>
    <t>Novo Vendedor</t>
  </si>
  <si>
    <t>Est. Cleber</t>
  </si>
  <si>
    <t>João</t>
  </si>
  <si>
    <t>Kalebe</t>
  </si>
  <si>
    <t>Everaldo</t>
  </si>
  <si>
    <t>Filipe</t>
  </si>
  <si>
    <t>Anúncios</t>
  </si>
  <si>
    <t>Sala</t>
  </si>
  <si>
    <t>Reembolsos e despesas</t>
  </si>
  <si>
    <t>Empréstimo</t>
  </si>
  <si>
    <t>Administrativo</t>
  </si>
  <si>
    <t>Outros custos de material para projetos</t>
  </si>
  <si>
    <t>Francisco</t>
  </si>
  <si>
    <t>Marcelo</t>
  </si>
  <si>
    <t>Qtd</t>
  </si>
  <si>
    <t>Faturamento Obras</t>
  </si>
  <si>
    <t>Qtd de Consultorias Mês</t>
  </si>
  <si>
    <t>Histórico de Faturamento</t>
  </si>
  <si>
    <t>Faixa 3</t>
  </si>
  <si>
    <t>se total faturado 12 meses &gt; R$1.800.000,00</t>
  </si>
  <si>
    <t>Faixa 4</t>
  </si>
  <si>
    <t>Custo bruto obra</t>
  </si>
  <si>
    <t>Material</t>
  </si>
  <si>
    <t xml:space="preserve">Felipe </t>
  </si>
  <si>
    <t>Alimentação + transporte</t>
  </si>
  <si>
    <t>Faturamento Consultoria</t>
  </si>
  <si>
    <t>Média</t>
  </si>
  <si>
    <t>Referência</t>
  </si>
  <si>
    <t>Curva Faturamento R$</t>
  </si>
  <si>
    <t>Curva Faturamento %</t>
  </si>
  <si>
    <t>c1</t>
  </si>
  <si>
    <t>c2</t>
  </si>
  <si>
    <t>c3</t>
  </si>
  <si>
    <t>c4</t>
  </si>
  <si>
    <t>Qtd Vendedores</t>
  </si>
  <si>
    <t>Ticket médio</t>
  </si>
  <si>
    <t>Funil de Vendas Atual</t>
  </si>
  <si>
    <t>Comissão %</t>
  </si>
  <si>
    <t>Topo de Funil (Indicações/oportunidades)</t>
  </si>
  <si>
    <t>Qtd de Vendas Méd</t>
  </si>
  <si>
    <t>Qtd Visita / Vendedor</t>
  </si>
  <si>
    <t>Faturamento total</t>
  </si>
  <si>
    <t>Total de Propostas</t>
  </si>
  <si>
    <t>Fixo</t>
  </si>
  <si>
    <t>Taxa de Conversa Prop/Fech</t>
  </si>
  <si>
    <t>Variável</t>
  </si>
  <si>
    <t>Total de Fechamentos</t>
  </si>
  <si>
    <t>Comissão + Var = R$</t>
  </si>
  <si>
    <t>% Vendas / Faturamento</t>
  </si>
  <si>
    <t>Faturamento Novas vendas</t>
  </si>
  <si>
    <t>Contribuição R$</t>
  </si>
  <si>
    <t>Parcela 1</t>
  </si>
  <si>
    <t>Entrada Mínima 25%</t>
  </si>
  <si>
    <t>Parcela 2</t>
  </si>
  <si>
    <t>Diferença</t>
  </si>
  <si>
    <t>Parcela 3</t>
  </si>
  <si>
    <t>Parcela 4</t>
  </si>
  <si>
    <t>Total das Parcelas</t>
  </si>
  <si>
    <t>Acumulado de Negócios</t>
  </si>
  <si>
    <t>sobrev</t>
  </si>
  <si>
    <t>os import. prim.</t>
  </si>
  <si>
    <t>justo correto</t>
  </si>
  <si>
    <t>overdelivery</t>
  </si>
  <si>
    <t>Acumulado de Faturamento</t>
  </si>
  <si>
    <t>Distribuição Faturamento Curva</t>
  </si>
  <si>
    <t>Comissão (prevista)</t>
  </si>
  <si>
    <t>Comissão Parcela 1</t>
  </si>
  <si>
    <t>Comissão Parcela 2</t>
  </si>
  <si>
    <t>Comissão Parcela 3</t>
  </si>
  <si>
    <t>Comissão Parcela 4</t>
  </si>
  <si>
    <t>Total de Comissão (P1 + P2 + P3 + P4)</t>
  </si>
  <si>
    <t>% Comissão / Faturamento</t>
  </si>
  <si>
    <t>Imposto sobre o Faturamento</t>
  </si>
  <si>
    <t>Alíquota</t>
  </si>
  <si>
    <t>Imposto (prevista)</t>
  </si>
  <si>
    <t>Imposto Parcela 1</t>
  </si>
  <si>
    <t>Imposto Parcela 2</t>
  </si>
  <si>
    <t>Imposto Parcela 3</t>
  </si>
  <si>
    <t>Imposto Parcela 4</t>
  </si>
  <si>
    <t>Total Imposto (P1 + P2 + P3 + P4)</t>
  </si>
  <si>
    <t>Custo de Serviço Prestado</t>
  </si>
  <si>
    <t>Margem de Lucro % (custo, comissão, imposto)</t>
  </si>
  <si>
    <t>Lucro Bruto Oper/Serviço</t>
  </si>
  <si>
    <t>1 parcela</t>
  </si>
  <si>
    <t>2 parcela</t>
  </si>
  <si>
    <t>Projeto</t>
  </si>
  <si>
    <t>3 parcela</t>
  </si>
  <si>
    <t>4 parcela</t>
  </si>
  <si>
    <t>Total Lucro Bruto Novo</t>
  </si>
  <si>
    <t>Lucro previsto 2025</t>
  </si>
  <si>
    <t>Faturamento XPE</t>
  </si>
  <si>
    <t>Margem de Contribuição Prevista</t>
  </si>
  <si>
    <t>Receita BRA + outros</t>
  </si>
  <si>
    <t>Custo Fixo Total</t>
  </si>
  <si>
    <t>Lucro Líquido Mensal</t>
  </si>
  <si>
    <t>Lucro Líquido Acumulado</t>
  </si>
  <si>
    <t>MRR - Plataforma</t>
  </si>
  <si>
    <t>Taxa de conversão</t>
  </si>
  <si>
    <t>qtd. Novos clientes</t>
  </si>
  <si>
    <t>Acumulado de Clientes</t>
  </si>
  <si>
    <t>03 meses sem plataforma</t>
  </si>
  <si>
    <t>Faturamento Mensal</t>
  </si>
  <si>
    <t>Acumulado anual</t>
  </si>
  <si>
    <t>MRR - Ger. Carregadores Ticket</t>
  </si>
  <si>
    <t>Total Parcelas</t>
  </si>
  <si>
    <t>% Setup</t>
  </si>
  <si>
    <t>% MRR Hard</t>
  </si>
  <si>
    <t>% MRR Plataforma</t>
  </si>
  <si>
    <t>Faturamento Total Plat. + Smart C</t>
  </si>
  <si>
    <t>Margem de Contrib Total tec</t>
  </si>
  <si>
    <t>Margem</t>
  </si>
  <si>
    <t>Qtd de Obras Previstas</t>
  </si>
  <si>
    <t>Faturamento previsto</t>
  </si>
  <si>
    <t>Total Recebido</t>
  </si>
  <si>
    <t>Custo Inicial</t>
  </si>
  <si>
    <t>Saldo Real (caixa disponivel)</t>
  </si>
  <si>
    <t>Saldo Acumulado</t>
  </si>
  <si>
    <t>Receita total</t>
  </si>
  <si>
    <t>Lucro Real</t>
  </si>
  <si>
    <t>Margem Contribuição Obras</t>
  </si>
  <si>
    <t>p1</t>
  </si>
  <si>
    <t>Faturamento Total Global</t>
  </si>
  <si>
    <t>média</t>
  </si>
  <si>
    <t>p2</t>
  </si>
  <si>
    <t>p3</t>
  </si>
  <si>
    <t>Fatutamento XPE Global</t>
  </si>
  <si>
    <t>Margem LL XPE Global</t>
  </si>
  <si>
    <t>CONTRATO FECHADO - Consult. + Obras</t>
  </si>
  <si>
    <t>qtd vendas por vendedor</t>
  </si>
  <si>
    <t>comissao</t>
  </si>
  <si>
    <t>Meta Potencial Criado</t>
  </si>
  <si>
    <t>tag - Relacionamento: 2% ind. 5% solo</t>
  </si>
  <si>
    <t>Oportunidade Gol</t>
  </si>
  <si>
    <t>Qtd. Indicações / contato</t>
  </si>
  <si>
    <t>Estimativa de Contatos</t>
  </si>
  <si>
    <t>CS</t>
  </si>
  <si>
    <t>Atividades diferentes (CS e Mkt Relacionam)</t>
  </si>
  <si>
    <t>teto</t>
  </si>
  <si>
    <t>10% vendas solo</t>
  </si>
  <si>
    <t>5% vendas estagnadas (60d) ou sem contrato ativo</t>
  </si>
  <si>
    <t>Clientes sem contrato ativo -&gt; 3% - 5%</t>
  </si>
  <si>
    <t>gerir até 150 cllientes</t>
  </si>
  <si>
    <t>80/20 (foco primário)</t>
  </si>
  <si>
    <t>Projetos Consultoria</t>
  </si>
  <si>
    <t>Serviços</t>
  </si>
  <si>
    <t>Serviços Acumulados</t>
  </si>
  <si>
    <t>TICKET</t>
  </si>
  <si>
    <t>Taxa de QNTD</t>
  </si>
  <si>
    <t>PREPARAÇÃO</t>
  </si>
  <si>
    <t>TEMPO CAMPO (DIAS)</t>
  </si>
  <si>
    <t>TEMPO PROJETO (DIAS)</t>
  </si>
  <si>
    <t>TEMPO REVISÃO (DIAS)</t>
  </si>
  <si>
    <t>TICKET/TEMPO</t>
  </si>
  <si>
    <t>Disponibilidade Carga + PE</t>
  </si>
  <si>
    <t>Laudo Instalações + G. Risco</t>
  </si>
  <si>
    <t>Inspeção Carregadores (+/- 5 unid)</t>
  </si>
  <si>
    <t>Projeto CDM</t>
  </si>
  <si>
    <t>Projeto Eletrocalha + Botão</t>
  </si>
  <si>
    <t>Laudo SPDA + Viabilidade Estr. + Proj</t>
  </si>
  <si>
    <t>CAPACIDADE CAMPO</t>
  </si>
  <si>
    <t>CAPACIDADE PROJETO</t>
  </si>
  <si>
    <t>OUTROS (DIAS)</t>
  </si>
  <si>
    <t>Disponibilidade Carga</t>
  </si>
  <si>
    <t>Projeto Eletrocalha</t>
  </si>
  <si>
    <t>CUSTO EXECUÇÃO / PESSOA</t>
  </si>
  <si>
    <t>/ANO</t>
  </si>
  <si>
    <t>/MES</t>
  </si>
  <si>
    <t>EPI</t>
  </si>
  <si>
    <t>CALIBRAÇÃO</t>
  </si>
  <si>
    <t>FERRAMENTA</t>
  </si>
  <si>
    <t>TOTAL</t>
  </si>
  <si>
    <t>Contador de Síndicos</t>
  </si>
  <si>
    <t>Orçamento Máquina Indicações e Rel.</t>
  </si>
  <si>
    <t>Fesindico</t>
  </si>
  <si>
    <t>Investimentos Infraestrutura</t>
  </si>
  <si>
    <t>Climatização das duas salas</t>
  </si>
  <si>
    <t>Ar-condicionado 24.000 btu</t>
  </si>
  <si>
    <t>Cobertura das paredes com acabamento</t>
  </si>
  <si>
    <t>Outros custos da sala</t>
  </si>
  <si>
    <t>Expansão e reorganização das estações de trabalho</t>
  </si>
  <si>
    <t>Levantar necessidades de cadeiras e mesas e extensões</t>
  </si>
  <si>
    <t>Almoxarifado/organização de materiais de serviços</t>
  </si>
  <si>
    <t>fazer orçamento do que precisa para ficar tudo organizado e gerível visualmente.</t>
  </si>
  <si>
    <t>Sala de Refeição e Recepção</t>
  </si>
  <si>
    <t>Cobertura + detalhes verde + móvel e adesivos</t>
  </si>
  <si>
    <t>microondas</t>
  </si>
  <si>
    <t>Banheiro Feminino e Masculino</t>
  </si>
  <si>
    <t>Materiais individuais</t>
  </si>
  <si>
    <t>Pratos da empresa x individuais</t>
  </si>
  <si>
    <t>Melhorar condições de trabalho individual</t>
  </si>
  <si>
    <t>Monitor</t>
  </si>
  <si>
    <t>Paulo Araújo</t>
  </si>
  <si>
    <t>Lista de compras e materiais empresa com local definido e responsável por comprar e manter</t>
  </si>
  <si>
    <t>Área externa - Pracinha é Nossa</t>
  </si>
  <si>
    <t>Faxina da casa rita toda semana</t>
  </si>
  <si>
    <t>Objetivos</t>
  </si>
  <si>
    <t>Aumentar Ticket +20%</t>
  </si>
  <si>
    <t>Aumentar ticket 12k</t>
  </si>
  <si>
    <t>Reduzir custo Oper. -40%</t>
  </si>
  <si>
    <t>Atender ponta-a-ponta a jornada da Eletromobilidade</t>
  </si>
  <si>
    <t>Melhorar posicionamento -&gt; Percepção de Valor</t>
  </si>
  <si>
    <t>MRR Digital + Hard.</t>
  </si>
  <si>
    <t>Máquina de Indicações e Relacionamento</t>
  </si>
  <si>
    <t>Serviços de CS</t>
  </si>
  <si>
    <t>Eletrocalha</t>
  </si>
  <si>
    <t>Melhorias CDM</t>
  </si>
  <si>
    <t>Inspeções</t>
  </si>
  <si>
    <t>Implantação Sist. Carregadores</t>
  </si>
  <si>
    <t>Botão de Emergência</t>
  </si>
  <si>
    <t>Plataforma de Gestão de Energia p/ Condomínios</t>
  </si>
  <si>
    <t>Sistemas e Automações de Processos Internos</t>
  </si>
  <si>
    <t>Ferramenta Mobile Offline First</t>
  </si>
  <si>
    <t>Gestão Clickup</t>
  </si>
  <si>
    <t>Aplicação Web de Execução e Visual Interna</t>
  </si>
  <si>
    <t>Nova plataforma de CS e Pós-venda</t>
  </si>
  <si>
    <t>Calendário de Eventos</t>
  </si>
  <si>
    <t>Metas de Novas Receitas -&gt; Plataforma + Hardware + Setup</t>
  </si>
  <si>
    <t>Setup + obras</t>
  </si>
  <si>
    <t>Fat. Mensal</t>
  </si>
  <si>
    <t>100k</t>
  </si>
  <si>
    <t>MRR</t>
  </si>
  <si>
    <t>10k</t>
  </si>
  <si>
    <t>Objetivos Principais</t>
  </si>
  <si>
    <t>Segunda</t>
  </si>
  <si>
    <t>Terça</t>
  </si>
  <si>
    <t>Quarta</t>
  </si>
  <si>
    <t>Quinta</t>
  </si>
  <si>
    <t>Sexta</t>
  </si>
  <si>
    <t>Segunda (22)</t>
  </si>
  <si>
    <t>Manhã</t>
  </si>
  <si>
    <t>Alinhamento Meta Global 2026. Revisão dos Numeros e Projeção mensal. Considerar calendário, Copa do mundo 26, Eleição, Festividades e Crescimento limitado a geração de Leads.</t>
  </si>
  <si>
    <t>Fazer o obvio e fácil primeiro. Detalhamento dos resultados mensais comerciais, os objetivos de geração de lead e prever as demandas de projeto. Saber o que será exigido de time e de infraestrutura. Pessoas, material, etc.. Tudo obvio e incluir na projeção com  os marcos. O que será feito e quem faz o que? (acho interessante aqui considerar no planejamento exatamente o que temos hoje e o time tech vai justamente viabilizar o resto acontecer. Planejamento financeiro mkt relacionamento, indicações, eventos, salários, melhorias no local, etc...</t>
  </si>
  <si>
    <t>Terminar o mais importante</t>
  </si>
  <si>
    <t>Desdobramento Coletivo das Metas</t>
  </si>
  <si>
    <t>Apresentação do planejamento por área com desdobramento de responsabilidade.</t>
  </si>
  <si>
    <t>Tarde</t>
  </si>
  <si>
    <t>Levantamento dos principais desdobramentos estratégicos para alcançar a meta. Alguns: Estratégia de Indicação, Marketing de Relacionamento, Máquina de Indicações. Escalar o operacional com tecnologia (mapear projetos cruciais - App interno, plataforma para clientes, produto específico ger. carregadores, etc...) O que n podemos esquecer: O que precisamos manter?</t>
  </si>
  <si>
    <t xml:space="preserve">Fazer o não obvio e mais difícil.
Planejamento do crescimento da receita recorrente com novos produtos. Planejamento da parte de obras. Gestão de Pessoas. Novo posicionamento Mídias sociais, rotinas e resultados esperados... </t>
  </si>
  <si>
    <t>Planejar qual história queremos contar em tudo que fazemos. A missão, o porquê para aumentar o valor percebido em tudo que fazemos e dá direcionamento. "A melhor apresentação" com a melhor intenção e promessa!</t>
  </si>
  <si>
    <t>Noite</t>
  </si>
  <si>
    <t>Não esquecer da única coisa global</t>
  </si>
  <si>
    <t>Única coisa por área</t>
  </si>
  <si>
    <t>Lembretes:</t>
  </si>
  <si>
    <t>Reorganização da Sala - Orçamentos de infraestrutura (climatização, pintura, sala de estar, sala de reunião, copa, etc... Materiais individuais)</t>
  </si>
  <si>
    <t>Tudo que precisa ser comprado de básico</t>
  </si>
  <si>
    <t>Quais rotinas de manutenção da ordem? Quais responsabilidades? Limpeza e Condições de Trabalho</t>
  </si>
  <si>
    <t>Rotina geral da empresa. Primeiro o mais importante: 1ª Segunda-feira do mês: 08h -&gt; Revisão do planejamento estratégico do mês. Planejamento resumido a 1 página com ritos, rotinas, objetivos e responsabilidades</t>
  </si>
  <si>
    <t>Reunião semanal de abertura e fechamento de semana + PDCA.</t>
  </si>
  <si>
    <t>Reconhecimentos Mensais, públicos</t>
  </si>
  <si>
    <t>Reunião de Diretoria invocada sempre que algo está fora do planejamento. Prestar contas, como pedir ajuda e resolver (mínima 30 dias). Não atrapalhar o comercial.</t>
  </si>
  <si>
    <t>Reforma da sala</t>
  </si>
  <si>
    <t>Preço</t>
  </si>
  <si>
    <t>m²</t>
  </si>
  <si>
    <t>Projeto m²</t>
  </si>
  <si>
    <t>Qtd peças</t>
  </si>
  <si>
    <t>Arredondar</t>
  </si>
  <si>
    <t>Bloco branco diam</t>
  </si>
  <si>
    <t>Estante Led</t>
  </si>
  <si>
    <t>Bloco preto tijolo</t>
  </si>
  <si>
    <t>Isopor</t>
  </si>
  <si>
    <t>Bloco preto diam</t>
  </si>
  <si>
    <t>Telha zinco</t>
  </si>
  <si>
    <t>Parede verde</t>
  </si>
  <si>
    <t>Estantes</t>
  </si>
  <si>
    <t>Fita led verde</t>
  </si>
  <si>
    <t>Spot luz 4x</t>
  </si>
  <si>
    <t>Grade preta</t>
  </si>
  <si>
    <t>4*55</t>
  </si>
  <si>
    <t>Logo 1,20</t>
  </si>
  <si>
    <t>1. Aumentar nosso ticket médio -&gt; Melhorar nossa apresentação + Storytelling + Diferenciação e Percepção de valor + ritos e rotinas</t>
  </si>
  <si>
    <t>primeiro quarter acompanhar e montar junto com comercial</t>
  </si>
  <si>
    <t>2. Design Plataforma Digital para gestão elétrica condominial totalmente alinhada a Percepção de valor (Vender o que eles querem e entregar o que eles precisam)</t>
  </si>
  <si>
    <t>Fazer o design da primeira versão da plataforma web</t>
  </si>
  <si>
    <t>3. Design Produto e Serviço de Gerenciamento de Carga condominial (Integração com a plataforma + Gestão de carregadores)</t>
  </si>
  <si>
    <t>4. Plano Global para tornar tudo isso em recorrência com um combo completo, rotinas periódicas e estratégias Hooked.</t>
  </si>
  <si>
    <t>5. Aumentar o lucro operacional completo (Visão de escala operacional com tecnologia e automação de processos)</t>
  </si>
  <si>
    <t>6. Suporte para melhorar nosso sistema de indica</t>
  </si>
  <si>
    <t>Calendário 2026 com foco em aumentar as vendas através de relacionamento. Considerar eventos importantes</t>
  </si>
  <si>
    <t>Estratégias de relacionamento para gerar indicações</t>
  </si>
  <si>
    <t>Parcerias estratégicas (quem conhecemos, devemos conhecer, quem precisa nos conhecer, lembrando)</t>
  </si>
  <si>
    <t>Direcionamento do conteúdo e materiais para isso acontecer.</t>
  </si>
  <si>
    <t>Insights e Estudos dos Livros:</t>
  </si>
  <si>
    <t>Máquina de Indicações e Sistema de indicações sem fim</t>
  </si>
  <si>
    <t xml:space="preserve">CRM de Sucesso do cliente </t>
  </si>
  <si>
    <t>Notas de Quantificações, problemas de percepção de valor</t>
  </si>
  <si>
    <t>Quais campos preciso ter, onde vamos colher</t>
  </si>
  <si>
    <t>Percepção de valor do cronograma, mostrar que está indo antes,</t>
  </si>
  <si>
    <t>Pilares estratégico</t>
  </si>
  <si>
    <t>Conhecer</t>
  </si>
  <si>
    <t xml:space="preserve">Gostar </t>
  </si>
  <si>
    <t>Confiar</t>
  </si>
  <si>
    <t>Rotinas para cuidar disso</t>
  </si>
  <si>
    <t>Mapear os principais pontos de experiência</t>
  </si>
  <si>
    <t>Primeiro você conhece, depois você gosta e depois você confia</t>
  </si>
  <si>
    <t>Saber quais indicações vieram de onde</t>
  </si>
  <si>
    <t>Tráfego pago</t>
  </si>
  <si>
    <t>Não tá claro</t>
  </si>
  <si>
    <t>Apresentação e Entrega excelente</t>
  </si>
  <si>
    <t>Ranking dos indicadores e premiar isso...</t>
  </si>
  <si>
    <t>*Verdade e propósito</t>
  </si>
  <si>
    <t>Trabalhar em cima da autenticidade e segurança</t>
  </si>
  <si>
    <t>Qual nosso diferencial falável central</t>
  </si>
  <si>
    <t>" Procurar o que fernando falou (audrey) e trabalhar na ideia"</t>
  </si>
  <si>
    <t>Capacitação + Storytelling desse diferencial falável (evangelizar)</t>
  </si>
  <si>
    <t>Diretrizes</t>
  </si>
  <si>
    <t>Colheita ativa de indicações alinhada a troca de valor</t>
  </si>
  <si>
    <t>Conteúdo utilizado como ferramenta de captação</t>
  </si>
  <si>
    <t>A empresa deve ser tão notável que os cliente se sentem compelidos a falar sobre</t>
  </si>
  <si>
    <t>Fases da Máquina de ciclo contínuo (1 a 4)</t>
  </si>
  <si>
    <t>Marketing e vendas</t>
  </si>
  <si>
    <t>Gerar conteúdo como ferramenta de captação</t>
  </si>
  <si>
    <t>Vendas</t>
  </si>
  <si>
    <t>Colocar a indicação como expectativa e condição no momento da venda (Método do livro = Gustavo)</t>
  </si>
  <si>
    <t>Projetos e sucesso</t>
  </si>
  <si>
    <t>Entregar uma experiência consistente e quantificar os resultados</t>
  </si>
  <si>
    <t>Sucesso e marketing</t>
  </si>
  <si>
    <t>Reforçar os resultados, coletar feedbacks e indicações e nutrir os clientes promotores</t>
  </si>
  <si>
    <t>obs: É necessário quantificar o valor entregue... É necessário sempre mostrar que o valor entregue é muito maior do que o preço. Nunca é documentos é o sentimento de problema resolvido</t>
  </si>
  <si>
    <t>Mentalidade -&gt; Dar para receber... Sempre focar em entregar</t>
  </si>
  <si>
    <t>Frases gatílho -&gt; Reclamações que o cliente demonstra que precisa de você.</t>
  </si>
  <si>
    <t>Se parece que tudo que eu estou entregando é o básico, o que é o surpreendente. Ancoragem de percepção de valor. Overdelivery. Wow</t>
  </si>
  <si>
    <t xml:space="preserve">Objeções de indicação (sentimento de emprestar uma confiança depositada no pessoal). </t>
  </si>
  <si>
    <t>Fazer conexões com lógica e emoção (cérebro e coração)</t>
  </si>
  <si>
    <t>Faça perguntas abertas que obrigatoriamente gerem respostas positivas (para gerar conexão) - Ter a top list 10</t>
  </si>
  <si>
    <t>Confiança = Manter a promessa + Qualidade + Autenticidade</t>
  </si>
  <si>
    <t>Entusiasme encante ou surpreenda. Nosso diferencial está claro em nossas cabeças; Não entregar nosso diferencial como se fosse básico. É mágico!</t>
  </si>
  <si>
    <t>Medidores próprios com tecnologia embarcada</t>
  </si>
  <si>
    <t>Medir em todos os pontos</t>
  </si>
  <si>
    <t>Quantidade de equipamentos, medidores e tecnologias disponíveis e direcionados só para isso</t>
  </si>
  <si>
    <t>Não reforçamos a importância de ter monitoramento online, sabemos quando os problemas acontecem... Não se perde dados</t>
  </si>
  <si>
    <t>Entrega pensada para todas pessoas mais importantes. Síndico, Morador, Geral.... Queremos estar com vc para sempre</t>
  </si>
  <si>
    <t>Parabéns x Obrigado! (Parabéns por terem escolhido a melhor empresa e vamos entregar o melhor serviço)...</t>
  </si>
  <si>
    <t>Baixo custo com alto impacto = Alta conexão -&gt; Máquina de gerar e facilitar as conexões e relações entre clientes e vendedor</t>
  </si>
  <si>
    <t>Objetivo dos eventos - não é se expor, é gerar conexão e entregar valor.</t>
  </si>
  <si>
    <t>Parcerias que gerem branding compartilhado, colaboração, complementar, colaborar se ajudar no triangulo (parceiro, xpe e síndico)</t>
  </si>
  <si>
    <t>Participar dos eventos e agendas das outras administradoras -&gt; Pagar para falar nos Workshops</t>
  </si>
  <si>
    <t>Fazer e colher boas perguntas e formas de agregar, trocar ideias com outros, conseguir indicações de bons relacionamentos e ir atrás disso, retribuindo e fazendo parcerias estratégicas que fazem sentido.</t>
  </si>
  <si>
    <t>fly wheel indicações</t>
  </si>
  <si>
    <t>1. Garantir q todas etapas são impecaveis</t>
  </si>
  <si>
    <t>2. Cartas a mão de agradecimentos</t>
  </si>
  <si>
    <t>3. Dedicar tempo para treinar os parceiros</t>
  </si>
  <si>
    <t>4. Investir tempo em se relacionar com jornalistas</t>
  </si>
  <si>
    <t>Salvar o instagram e seguir na hora, valorizar em publico os insights das postagens, marcar depois os arrobas e salvar no CRM</t>
  </si>
  <si>
    <t>No onboard da plataforma posso entregar um overdelivery e também posso no processo de onboard de documentação saber quais documentos o cliente não tem atualizado e precisa gerir, tirar etc. Deixar os campos com os documentos só faltando adicionar por exemplo: Regimento interno, AVBC, Láudo SPDA, Láudo Instalações Elétricas, Estudo de disponibilidade de carga, projeto elétrico... etc... prever e dar outros slots... e com isso certificar o sindico especialista elétrico e o prédio que tem tudo em dia.... Usar o hooked.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</si>
</sst>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[$R$ -416]#,##0.00"/>
    <numFmt numFmtId="166" formatCode="0.0"/>
    <numFmt numFmtId="167" formatCode="0.000"/>
    <numFmt numFmtId="168" formatCode="_-&quot;R$&quot;\ * #,##0.00_-;\-&quot;R$&quot;\ * #,##0.00_-;_-&quot;R$&quot;\ * &quot;-&quot;??_-;_-@"/>
    <numFmt numFmtId="169" formatCode="_-&quot;R$&quot;\ * #,##0.000_-;\-&quot;R$&quot;\ * #,##0.000_-;_-&quot;R$&quot;\ * &quot;-&quot;???_-;_-@"/>
    <numFmt numFmtId="170" formatCode="#,##0_ ;\-#,##0\ "/>
    <numFmt numFmtId="171" formatCode="#,##0.0_ ;\-#,##0.0\ "/>
    <numFmt numFmtId="172" formatCode="_-&quot;R$&quot;\ * #,##0_-;\-&quot;R$&quot;\ * #,##0_-;_-&quot;R$&quot;\ * &quot;-&quot;??_-;_-@"/>
    <numFmt numFmtId="173" formatCode="_-* #,##0_-;\-* #,##0_-;_-* &quot;-&quot;??_-;_-@"/>
    <numFmt numFmtId="174" formatCode="0.0%"/>
  </numFmts>
  <fonts count="40">
    <font>
      <sz val="12.0"/>
      <color theme="1"/>
      <name val="Aptos Narrow"/>
      <scheme val="minor"/>
    </font>
    <font>
      <color theme="1"/>
      <name val="Arial"/>
    </font>
    <font>
      <b/>
      <sz val="18.0"/>
      <color rgb="FFFFFFFF"/>
      <name val="Montserrat"/>
    </font>
    <font>
      <b/>
      <sz val="11.0"/>
      <color rgb="FFFFFFFF"/>
      <name val="Montserrat"/>
    </font>
    <font>
      <b/>
      <sz val="12.0"/>
      <color theme="1"/>
      <name val="Montserrat"/>
    </font>
    <font>
      <b/>
      <color theme="1"/>
      <name val="Montserrat"/>
    </font>
    <font>
      <color theme="1"/>
      <name val="Montserrat"/>
    </font>
    <font>
      <sz val="11.0"/>
      <color theme="1"/>
      <name val="Montserrat"/>
    </font>
    <font>
      <b/>
      <color rgb="FFFFFFFF"/>
      <name val="Montserrat"/>
    </font>
    <font>
      <b/>
      <color rgb="FF7618B5"/>
      <name val="Montserrat"/>
    </font>
    <font>
      <b/>
      <sz val="11.0"/>
      <color theme="1"/>
      <name val="Montserrat"/>
    </font>
    <font>
      <sz val="11.0"/>
      <color theme="1"/>
      <name val="Aptos Narrow"/>
      <scheme val="minor"/>
    </font>
    <font>
      <b/>
      <sz val="12.0"/>
      <color rgb="FFFFFFFF"/>
      <name val="Montserrat"/>
    </font>
    <font>
      <b/>
      <sz val="12.0"/>
      <color rgb="FF980000"/>
      <name val="Montserrat"/>
    </font>
    <font>
      <color theme="1"/>
      <name val="Aptos Narrow"/>
      <scheme val="minor"/>
    </font>
    <font>
      <b/>
      <color rgb="FF242424"/>
      <name val="Montserrat"/>
    </font>
    <font>
      <b/>
      <sz val="12.0"/>
      <color rgb="FF38761D"/>
      <name val="Montserrat"/>
    </font>
    <font>
      <b/>
      <sz val="12.0"/>
      <color theme="1"/>
      <name val="Aptos Narrow"/>
    </font>
    <font>
      <sz val="12.0"/>
      <color theme="1"/>
      <name val="Aptos Narrow"/>
    </font>
    <font>
      <sz val="12.0"/>
      <color rgb="FFBFBFBF"/>
      <name val="Aptos Narrow"/>
    </font>
    <font>
      <b/>
      <sz val="12.0"/>
      <color theme="1"/>
      <name val="Arial"/>
    </font>
    <font>
      <sz val="12.0"/>
      <color theme="1"/>
      <name val="Arial"/>
    </font>
    <font>
      <b/>
      <sz val="16.0"/>
      <color theme="1"/>
      <name val="Aptos Narrow"/>
    </font>
    <font>
      <b/>
      <color theme="1"/>
      <name val="Aptos Narrow"/>
      <scheme val="minor"/>
    </font>
    <font>
      <b/>
      <color theme="1"/>
      <name val="Arial"/>
    </font>
    <font>
      <sz val="12.0"/>
      <color theme="0"/>
      <name val="Arial"/>
    </font>
    <font>
      <sz val="12.0"/>
      <color theme="0"/>
      <name val="Aptos Narrow"/>
    </font>
    <font>
      <color theme="0"/>
      <name val="Aptos Narrow"/>
      <scheme val="minor"/>
    </font>
    <font>
      <sz val="12.0"/>
      <color rgb="FFFFFFFF"/>
      <name val="Arial"/>
    </font>
    <font>
      <b/>
      <sz val="14.0"/>
      <color theme="0"/>
      <name val="Aptos Narrow"/>
    </font>
    <font>
      <sz val="14.0"/>
      <color theme="0"/>
      <name val="Aptos Narrow"/>
    </font>
    <font>
      <b/>
      <sz val="14.0"/>
      <color theme="1"/>
      <name val="Aptos Narrow"/>
    </font>
    <font>
      <sz val="14.0"/>
      <color theme="1"/>
      <name val="Aptos Narrow"/>
    </font>
    <font>
      <b/>
      <sz val="14.0"/>
      <color theme="1"/>
      <name val="Arial"/>
    </font>
    <font/>
    <font>
      <b/>
      <sz val="14.0"/>
      <color theme="1"/>
      <name val="Montserrat"/>
    </font>
    <font>
      <b/>
      <sz val="16.0"/>
      <color theme="1"/>
      <name val="Arial"/>
    </font>
    <font>
      <b/>
      <strike/>
      <color theme="1"/>
      <name val="Arial"/>
    </font>
    <font>
      <strike/>
      <color theme="1"/>
      <name val="Arial"/>
    </font>
    <font>
      <strike/>
      <color theme="1"/>
      <name val="Aptos Narrow"/>
      <scheme val="minor"/>
    </font>
  </fonts>
  <fills count="3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71F88A"/>
        <bgColor rgb="FF71F88A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87F1FF"/>
        <bgColor rgb="FF87F1FF"/>
      </patternFill>
    </fill>
    <fill>
      <patternFill patternType="solid">
        <fgColor rgb="FFEF6461"/>
        <bgColor rgb="FFEF6461"/>
      </patternFill>
    </fill>
    <fill>
      <patternFill patternType="solid">
        <fgColor rgb="FF995DCC"/>
        <bgColor rgb="FF995DCC"/>
      </patternFill>
    </fill>
    <fill>
      <patternFill patternType="solid">
        <fgColor rgb="FF7618B5"/>
        <bgColor rgb="FF7618B5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8ED873"/>
        <bgColor rgb="FF8ED873"/>
      </patternFill>
    </fill>
    <fill>
      <patternFill patternType="solid">
        <fgColor rgb="FFB3E5A1"/>
        <bgColor rgb="FFB3E5A1"/>
      </patternFill>
    </fill>
    <fill>
      <patternFill patternType="solid">
        <fgColor rgb="FF8E7CC3"/>
        <bgColor rgb="FF8E7CC3"/>
      </patternFill>
    </fill>
    <fill>
      <patternFill patternType="solid">
        <fgColor rgb="FFEAD1DC"/>
        <bgColor rgb="FFEAD1DC"/>
      </patternFill>
    </fill>
    <fill>
      <patternFill patternType="solid">
        <fgColor rgb="FFFCFFBB"/>
        <bgColor rgb="FFFCFFBB"/>
      </patternFill>
    </fill>
    <fill>
      <patternFill patternType="solid">
        <fgColor rgb="FFB4A7D6"/>
        <bgColor rgb="FFB4A7D6"/>
      </patternFill>
    </fill>
    <fill>
      <patternFill patternType="solid">
        <fgColor rgb="FFFFC000"/>
        <bgColor rgb="FFFFC000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00FF00"/>
        <bgColor rgb="FF00FF00"/>
      </patternFill>
    </fill>
    <fill>
      <patternFill patternType="solid">
        <fgColor rgb="FFD9F2D0"/>
        <bgColor rgb="FFD9F2D0"/>
      </patternFill>
    </fill>
    <fill>
      <patternFill patternType="solid">
        <fgColor rgb="FF7030A0"/>
        <bgColor rgb="FF7030A0"/>
      </patternFill>
    </fill>
    <fill>
      <patternFill patternType="solid">
        <fgColor rgb="FFBFBFBF"/>
        <bgColor rgb="FFBFBFBF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</fills>
  <borders count="3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/>
    </border>
    <border>
      <left/>
      <right style="thin">
        <color rgb="FF000000"/>
      </right>
      <top/>
    </border>
    <border>
      <left/>
      <right/>
      <bottom/>
    </border>
    <border>
      <left/>
      <right style="thin">
        <color rgb="FF000000"/>
      </right>
      <bottom/>
    </border>
    <border>
      <right/>
      <top/>
      <bottom/>
    </border>
  </borders>
  <cellStyleXfs count="1">
    <xf borderId="0" fillId="0" fontId="0" numFmtId="0" applyAlignment="1" applyFont="1"/>
  </cellStyleXfs>
  <cellXfs count="4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2" fontId="3" numFmtId="0" xfId="0" applyAlignment="1" applyFont="1">
      <alignment horizontal="center" vertical="bottom"/>
    </xf>
    <xf borderId="0" fillId="2" fontId="1" numFmtId="164" xfId="0" applyAlignment="1" applyFont="1" applyNumberFormat="1">
      <alignment vertical="bottom"/>
    </xf>
    <xf borderId="0" fillId="3" fontId="4" numFmtId="0" xfId="0" applyAlignment="1" applyFill="1" applyFont="1">
      <alignment horizontal="center" vertical="center"/>
    </xf>
    <xf borderId="0" fillId="3" fontId="5" numFmtId="165" xfId="0" applyAlignment="1" applyFont="1" applyNumberFormat="1">
      <alignment horizontal="center" vertical="center"/>
    </xf>
    <xf borderId="0" fillId="0" fontId="6" numFmtId="0" xfId="0" applyAlignment="1" applyFont="1">
      <alignment horizontal="right" readingOrder="0" vertical="bottom"/>
    </xf>
    <xf borderId="0" fillId="0" fontId="7" numFmtId="166" xfId="0" applyAlignment="1" applyFont="1" applyNumberFormat="1">
      <alignment horizontal="center"/>
    </xf>
    <xf borderId="0" fillId="4" fontId="5" numFmtId="0" xfId="0" applyAlignment="1" applyFill="1" applyFont="1">
      <alignment horizontal="center" readingOrder="0" vertical="bottom"/>
    </xf>
    <xf borderId="1" fillId="3" fontId="5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/>
    </xf>
    <xf borderId="3" fillId="3" fontId="5" numFmtId="0" xfId="0" applyAlignment="1" applyBorder="1" applyFont="1">
      <alignment horizontal="center"/>
    </xf>
    <xf borderId="0" fillId="0" fontId="7" numFmtId="167" xfId="0" applyAlignment="1" applyFont="1" applyNumberFormat="1">
      <alignment horizontal="center"/>
    </xf>
    <xf borderId="0" fillId="5" fontId="8" numFmtId="0" xfId="0" applyAlignment="1" applyFill="1" applyFont="1">
      <alignment horizontal="center" vertical="bottom"/>
    </xf>
    <xf borderId="0" fillId="5" fontId="8" numFmtId="165" xfId="0" applyAlignment="1" applyFont="1" applyNumberFormat="1">
      <alignment horizontal="center" vertical="bottom"/>
    </xf>
    <xf borderId="4" fillId="0" fontId="6" numFmtId="0" xfId="0" applyAlignment="1" applyBorder="1" applyFont="1">
      <alignment horizontal="center" readingOrder="0"/>
    </xf>
    <xf borderId="0" fillId="0" fontId="6" numFmtId="165" xfId="0" applyAlignment="1" applyFont="1" applyNumberFormat="1">
      <alignment horizontal="center"/>
    </xf>
    <xf borderId="5" fillId="0" fontId="6" numFmtId="165" xfId="0" applyAlignment="1" applyBorder="1" applyFont="1" applyNumberFormat="1">
      <alignment horizontal="center"/>
    </xf>
    <xf borderId="6" fillId="0" fontId="9" numFmtId="0" xfId="0" applyAlignment="1" applyBorder="1" applyFont="1">
      <alignment horizontal="right" readingOrder="0" vertical="bottom"/>
    </xf>
    <xf borderId="6" fillId="0" fontId="10" numFmtId="165" xfId="0" applyAlignment="1" applyBorder="1" applyFont="1" applyNumberFormat="1">
      <alignment horizontal="center"/>
    </xf>
    <xf borderId="0" fillId="4" fontId="5" numFmtId="165" xfId="0" applyAlignment="1" applyFont="1" applyNumberFormat="1">
      <alignment horizontal="center" vertical="bottom"/>
    </xf>
    <xf borderId="0" fillId="0" fontId="6" numFmtId="0" xfId="0" applyAlignment="1" applyFont="1">
      <alignment horizontal="right" vertical="bottom"/>
    </xf>
    <xf borderId="0" fillId="0" fontId="7" numFmtId="165" xfId="0" applyAlignment="1" applyFont="1" applyNumberFormat="1">
      <alignment horizontal="center"/>
    </xf>
    <xf borderId="0" fillId="0" fontId="7" numFmtId="165" xfId="0" applyAlignment="1" applyFont="1" applyNumberFormat="1">
      <alignment horizontal="center" readingOrder="0"/>
    </xf>
    <xf borderId="0" fillId="4" fontId="5" numFmtId="0" xfId="0" applyAlignment="1" applyFont="1">
      <alignment horizontal="center" vertical="bottom"/>
    </xf>
    <xf borderId="0" fillId="4" fontId="5" numFmtId="10" xfId="0" applyAlignment="1" applyFont="1" applyNumberFormat="1">
      <alignment horizontal="center" vertical="bottom"/>
    </xf>
    <xf borderId="7" fillId="0" fontId="6" numFmtId="0" xfId="0" applyAlignment="1" applyBorder="1" applyFont="1">
      <alignment horizontal="center" readingOrder="0"/>
    </xf>
    <xf borderId="8" fillId="0" fontId="6" numFmtId="165" xfId="0" applyAlignment="1" applyBorder="1" applyFont="1" applyNumberFormat="1">
      <alignment horizontal="center"/>
    </xf>
    <xf borderId="9" fillId="0" fontId="6" numFmtId="165" xfId="0" applyAlignment="1" applyBorder="1" applyFont="1" applyNumberFormat="1">
      <alignment horizontal="center"/>
    </xf>
    <xf borderId="0" fillId="5" fontId="8" numFmtId="0" xfId="0" applyAlignment="1" applyFont="1">
      <alignment horizontal="center" vertical="bottom"/>
    </xf>
    <xf borderId="0" fillId="5" fontId="8" numFmtId="10" xfId="0" applyAlignment="1" applyFont="1" applyNumberFormat="1">
      <alignment horizontal="center" vertical="bottom"/>
    </xf>
    <xf borderId="1" fillId="0" fontId="10" numFmtId="0" xfId="0" applyAlignment="1" applyBorder="1" applyFont="1">
      <alignment horizontal="center" readingOrder="0"/>
    </xf>
    <xf borderId="2" fillId="0" fontId="10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 readingOrder="0"/>
    </xf>
    <xf borderId="0" fillId="4" fontId="5" numFmtId="0" xfId="0" applyAlignment="1" applyFont="1">
      <alignment horizontal="center" vertical="bottom"/>
    </xf>
    <xf borderId="4" fillId="0" fontId="7" numFmtId="0" xfId="0" applyAlignment="1" applyBorder="1" applyFont="1">
      <alignment horizontal="center" readingOrder="0"/>
    </xf>
    <xf borderId="0" fillId="0" fontId="7" numFmtId="168" xfId="0" applyAlignment="1" applyFont="1" applyNumberFormat="1">
      <alignment horizontal="center"/>
    </xf>
    <xf borderId="5" fillId="0" fontId="7" numFmtId="168" xfId="0" applyAlignment="1" applyBorder="1" applyFont="1" applyNumberFormat="1">
      <alignment horizontal="center"/>
    </xf>
    <xf borderId="0" fillId="0" fontId="7" numFmtId="169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7" fillId="0" fontId="10" numFmtId="0" xfId="0" applyAlignment="1" applyBorder="1" applyFont="1">
      <alignment horizontal="center" readingOrder="0"/>
    </xf>
    <xf borderId="8" fillId="0" fontId="10" numFmtId="168" xfId="0" applyAlignment="1" applyBorder="1" applyFont="1" applyNumberFormat="1">
      <alignment horizontal="center"/>
    </xf>
    <xf borderId="9" fillId="0" fontId="10" numFmtId="168" xfId="0" applyAlignment="1" applyBorder="1" applyFont="1" applyNumberFormat="1">
      <alignment horizontal="center"/>
    </xf>
    <xf borderId="0" fillId="0" fontId="11" numFmtId="0" xfId="0" applyFont="1"/>
    <xf borderId="0" fillId="6" fontId="4" numFmtId="0" xfId="0" applyAlignment="1" applyFill="1" applyFont="1">
      <alignment horizontal="right"/>
    </xf>
    <xf borderId="0" fillId="6" fontId="5" numFmtId="165" xfId="0" applyAlignment="1" applyFont="1" applyNumberFormat="1">
      <alignment horizontal="center"/>
    </xf>
    <xf borderId="0" fillId="3" fontId="4" numFmtId="0" xfId="0" applyAlignment="1" applyFont="1">
      <alignment horizontal="right" vertical="center"/>
    </xf>
    <xf borderId="0" fillId="3" fontId="10" numFmtId="165" xfId="0" applyAlignment="1" applyFont="1" applyNumberFormat="1">
      <alignment horizontal="center"/>
    </xf>
    <xf borderId="0" fillId="0" fontId="10" numFmtId="10" xfId="0" applyAlignment="1" applyFont="1" applyNumberFormat="1">
      <alignment horizontal="center"/>
    </xf>
    <xf borderId="0" fillId="7" fontId="12" numFmtId="0" xfId="0" applyAlignment="1" applyFill="1" applyFont="1">
      <alignment horizontal="right" readingOrder="0" vertical="bottom"/>
    </xf>
    <xf borderId="0" fillId="7" fontId="12" numFmtId="165" xfId="0" applyAlignment="1" applyFont="1" applyNumberFormat="1">
      <alignment vertical="bottom"/>
    </xf>
    <xf borderId="0" fillId="0" fontId="7" numFmtId="10" xfId="0" applyAlignment="1" applyFont="1" applyNumberFormat="1">
      <alignment horizontal="center"/>
    </xf>
    <xf borderId="0" fillId="0" fontId="5" numFmtId="0" xfId="0" applyAlignment="1" applyFont="1">
      <alignment horizontal="right" vertical="bottom"/>
    </xf>
    <xf borderId="0" fillId="8" fontId="12" numFmtId="0" xfId="0" applyAlignment="1" applyFill="1" applyFont="1">
      <alignment horizontal="right"/>
    </xf>
    <xf borderId="0" fillId="9" fontId="8" numFmtId="168" xfId="0" applyAlignment="1" applyFill="1" applyFont="1" applyNumberFormat="1">
      <alignment horizontal="center"/>
    </xf>
    <xf borderId="6" fillId="0" fontId="13" numFmtId="0" xfId="0" applyAlignment="1" applyBorder="1" applyFont="1">
      <alignment horizontal="right" vertical="bottom"/>
    </xf>
    <xf borderId="6" fillId="0" fontId="10" numFmtId="168" xfId="0" applyAlignment="1" applyBorder="1" applyFont="1" applyNumberFormat="1">
      <alignment horizontal="center"/>
    </xf>
    <xf borderId="0" fillId="0" fontId="6" numFmtId="0" xfId="0" applyAlignment="1" applyFont="1">
      <alignment vertical="bottom"/>
    </xf>
    <xf borderId="6" fillId="0" fontId="13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6" fillId="0" fontId="5" numFmtId="0" xfId="0" applyAlignment="1" applyBorder="1" applyFont="1">
      <alignment horizontal="right" vertical="bottom"/>
    </xf>
    <xf borderId="6" fillId="0" fontId="14" numFmtId="0" xfId="0" applyBorder="1" applyFont="1"/>
    <xf borderId="6" fillId="0" fontId="7" numFmtId="165" xfId="0" applyAlignment="1" applyBorder="1" applyFont="1" applyNumberFormat="1">
      <alignment horizontal="center"/>
    </xf>
    <xf borderId="0" fillId="0" fontId="1" numFmtId="0" xfId="0" applyAlignment="1" applyFont="1">
      <alignment horizontal="right" readingOrder="0"/>
    </xf>
    <xf borderId="0" fillId="0" fontId="14" numFmtId="165" xfId="0" applyFont="1" applyNumberFormat="1"/>
    <xf borderId="6" fillId="0" fontId="15" numFmtId="0" xfId="0" applyAlignment="1" applyBorder="1" applyFont="1">
      <alignment horizontal="right" vertical="bottom"/>
    </xf>
    <xf borderId="0" fillId="0" fontId="14" numFmtId="168" xfId="0" applyFont="1" applyNumberFormat="1"/>
    <xf borderId="0" fillId="3" fontId="16" numFmtId="0" xfId="0" applyAlignment="1" applyFont="1">
      <alignment horizontal="right" readingOrder="0"/>
    </xf>
    <xf borderId="0" fillId="3" fontId="5" numFmtId="165" xfId="0" applyAlignment="1" applyFont="1" applyNumberFormat="1">
      <alignment horizontal="center"/>
    </xf>
    <xf borderId="0" fillId="0" fontId="6" numFmtId="165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6" numFmtId="10" xfId="0" applyAlignment="1" applyFont="1" applyNumberFormat="1">
      <alignment horizontal="center" readingOrder="0"/>
    </xf>
    <xf borderId="0" fillId="0" fontId="6" numFmtId="4" xfId="0" applyAlignment="1" applyFont="1" applyNumberFormat="1">
      <alignment horizontal="center" readingOrder="0"/>
    </xf>
    <xf borderId="0" fillId="0" fontId="6" numFmtId="10" xfId="0" applyAlignment="1" applyFont="1" applyNumberFormat="1">
      <alignment horizontal="center"/>
    </xf>
    <xf borderId="10" fillId="10" fontId="17" numFmtId="0" xfId="0" applyAlignment="1" applyBorder="1" applyFill="1" applyFont="1">
      <alignment horizontal="center" vertical="center"/>
    </xf>
    <xf borderId="11" fillId="10" fontId="17" numFmtId="0" xfId="0" applyAlignment="1" applyBorder="1" applyFont="1">
      <alignment horizontal="center" vertical="center"/>
    </xf>
    <xf borderId="12" fillId="10" fontId="17" numFmtId="0" xfId="0" applyAlignment="1" applyBorder="1" applyFont="1">
      <alignment horizontal="center" vertical="center"/>
    </xf>
    <xf borderId="0" fillId="0" fontId="14" numFmtId="0" xfId="0" applyFont="1"/>
    <xf borderId="0" fillId="0" fontId="18" numFmtId="0" xfId="0" applyAlignment="1" applyFont="1">
      <alignment horizontal="center" vertical="center"/>
    </xf>
    <xf borderId="0" fillId="0" fontId="17" numFmtId="0" xfId="0" applyFont="1"/>
    <xf borderId="13" fillId="0" fontId="18" numFmtId="0" xfId="0" applyBorder="1" applyFont="1"/>
    <xf borderId="0" fillId="0" fontId="18" numFmtId="170" xfId="0" applyAlignment="1" applyFont="1" applyNumberFormat="1">
      <alignment horizontal="center" vertical="center"/>
    </xf>
    <xf borderId="14" fillId="0" fontId="18" numFmtId="171" xfId="0" applyAlignment="1" applyBorder="1" applyFont="1" applyNumberFormat="1">
      <alignment horizontal="center" vertical="center"/>
    </xf>
    <xf borderId="14" fillId="0" fontId="18" numFmtId="172" xfId="0" applyBorder="1" applyFont="1" applyNumberFormat="1"/>
    <xf borderId="0" fillId="0" fontId="18" numFmtId="0" xfId="0" applyAlignment="1" applyFont="1">
      <alignment horizontal="right"/>
    </xf>
    <xf borderId="0" fillId="0" fontId="18" numFmtId="0" xfId="0" applyAlignment="1" applyFont="1">
      <alignment horizontal="center"/>
    </xf>
    <xf borderId="0" fillId="0" fontId="18" numFmtId="168" xfId="0" applyFont="1" applyNumberFormat="1"/>
    <xf borderId="0" fillId="0" fontId="17" numFmtId="168" xfId="0" applyFont="1" applyNumberFormat="1"/>
    <xf borderId="0" fillId="0" fontId="18" numFmtId="9" xfId="0" applyAlignment="1" applyFont="1" applyNumberFormat="1">
      <alignment horizontal="center" vertical="center"/>
    </xf>
    <xf borderId="15" fillId="11" fontId="17" numFmtId="0" xfId="0" applyAlignment="1" applyBorder="1" applyFill="1" applyFont="1">
      <alignment horizontal="right"/>
    </xf>
    <xf borderId="15" fillId="11" fontId="17" numFmtId="168" xfId="0" applyBorder="1" applyFont="1" applyNumberFormat="1"/>
    <xf borderId="0" fillId="0" fontId="17" numFmtId="9" xfId="0" applyAlignment="1" applyFont="1" applyNumberFormat="1">
      <alignment horizontal="center"/>
    </xf>
    <xf borderId="0" fillId="0" fontId="18" numFmtId="168" xfId="0" applyAlignment="1" applyFont="1" applyNumberFormat="1">
      <alignment horizontal="right"/>
    </xf>
    <xf borderId="0" fillId="0" fontId="17" numFmtId="0" xfId="0" applyAlignment="1" applyFont="1">
      <alignment horizontal="right"/>
    </xf>
    <xf borderId="0" fillId="0" fontId="17" numFmtId="0" xfId="0" applyAlignment="1" applyFont="1">
      <alignment horizontal="center" vertical="center"/>
    </xf>
    <xf borderId="0" fillId="0" fontId="17" numFmtId="168" xfId="0" applyAlignment="1" applyFont="1" applyNumberFormat="1">
      <alignment horizontal="right"/>
    </xf>
    <xf borderId="13" fillId="0" fontId="18" numFmtId="0" xfId="0" applyAlignment="1" applyBorder="1" applyFont="1">
      <alignment horizontal="center" vertical="center"/>
    </xf>
    <xf borderId="0" fillId="0" fontId="18" numFmtId="171" xfId="0" applyAlignment="1" applyFont="1" applyNumberFormat="1">
      <alignment horizontal="center" vertical="center"/>
    </xf>
    <xf borderId="0" fillId="0" fontId="18" numFmtId="172" xfId="0" applyAlignment="1" applyFont="1" applyNumberFormat="1">
      <alignment horizontal="center" vertical="center"/>
    </xf>
    <xf borderId="14" fillId="0" fontId="18" numFmtId="172" xfId="0" applyAlignment="1" applyBorder="1" applyFont="1" applyNumberFormat="1">
      <alignment horizontal="center" vertical="center"/>
    </xf>
    <xf borderId="13" fillId="0" fontId="18" numFmtId="172" xfId="0" applyAlignment="1" applyBorder="1" applyFont="1" applyNumberFormat="1">
      <alignment horizontal="center" vertical="center"/>
    </xf>
    <xf borderId="14" fillId="0" fontId="18" numFmtId="166" xfId="0" applyAlignment="1" applyBorder="1" applyFont="1" applyNumberFormat="1">
      <alignment horizontal="center"/>
    </xf>
    <xf borderId="14" fillId="0" fontId="18" numFmtId="0" xfId="0" applyBorder="1" applyFont="1"/>
    <xf borderId="16" fillId="0" fontId="18" numFmtId="0" xfId="0" applyBorder="1" applyFont="1"/>
    <xf borderId="6" fillId="0" fontId="18" numFmtId="170" xfId="0" applyAlignment="1" applyBorder="1" applyFont="1" applyNumberFormat="1">
      <alignment horizontal="center"/>
    </xf>
    <xf borderId="17" fillId="0" fontId="18" numFmtId="166" xfId="0" applyAlignment="1" applyBorder="1" applyFont="1" applyNumberFormat="1">
      <alignment horizontal="center"/>
    </xf>
    <xf borderId="16" fillId="0" fontId="18" numFmtId="172" xfId="0" applyAlignment="1" applyBorder="1" applyFont="1" applyNumberFormat="1">
      <alignment horizontal="center" vertical="center"/>
    </xf>
    <xf borderId="6" fillId="0" fontId="18" numFmtId="9" xfId="0" applyAlignment="1" applyBorder="1" applyFont="1" applyNumberFormat="1">
      <alignment horizontal="center" vertical="center"/>
    </xf>
    <xf borderId="17" fillId="0" fontId="18" numFmtId="0" xfId="0" applyBorder="1" applyFont="1"/>
    <xf borderId="18" fillId="0" fontId="17" numFmtId="0" xfId="0" applyBorder="1" applyFont="1"/>
    <xf borderId="19" fillId="0" fontId="17" numFmtId="0" xfId="0" applyAlignment="1" applyBorder="1" applyFont="1">
      <alignment horizontal="center"/>
    </xf>
    <xf borderId="20" fillId="0" fontId="17" numFmtId="0" xfId="0" applyBorder="1" applyFont="1"/>
    <xf borderId="11" fillId="11" fontId="17" numFmtId="0" xfId="0" applyAlignment="1" applyBorder="1" applyFont="1">
      <alignment horizontal="center" vertical="center"/>
    </xf>
    <xf borderId="11" fillId="11" fontId="17" numFmtId="0" xfId="0" applyBorder="1" applyFont="1"/>
    <xf borderId="12" fillId="11" fontId="17" numFmtId="0" xfId="0" applyBorder="1" applyFont="1"/>
    <xf borderId="10" fillId="12" fontId="17" numFmtId="0" xfId="0" applyBorder="1" applyFill="1" applyFont="1"/>
    <xf borderId="11" fillId="13" fontId="17" numFmtId="0" xfId="0" applyAlignment="1" applyBorder="1" applyFill="1" applyFont="1">
      <alignment horizontal="center" vertical="center"/>
    </xf>
    <xf borderId="12" fillId="13" fontId="17" numFmtId="0" xfId="0" applyAlignment="1" applyBorder="1" applyFont="1">
      <alignment horizontal="center"/>
    </xf>
    <xf borderId="21" fillId="0" fontId="18" numFmtId="0" xfId="0" applyBorder="1" applyFont="1"/>
    <xf borderId="22" fillId="0" fontId="18" numFmtId="0" xfId="0" applyAlignment="1" applyBorder="1" applyFont="1">
      <alignment horizontal="center"/>
    </xf>
    <xf borderId="23" fillId="0" fontId="17" numFmtId="9" xfId="0" applyAlignment="1" applyBorder="1" applyFont="1" applyNumberFormat="1">
      <alignment horizontal="center"/>
    </xf>
    <xf borderId="22" fillId="0" fontId="18" numFmtId="9" xfId="0" applyAlignment="1" applyBorder="1" applyFont="1" applyNumberFormat="1">
      <alignment horizontal="center"/>
    </xf>
    <xf borderId="22" fillId="0" fontId="18" numFmtId="0" xfId="0" applyBorder="1" applyFont="1"/>
    <xf borderId="23" fillId="0" fontId="18" numFmtId="166" xfId="0" applyAlignment="1" applyBorder="1" applyFont="1" applyNumberFormat="1">
      <alignment horizontal="center"/>
    </xf>
    <xf borderId="22" fillId="0" fontId="18" numFmtId="0" xfId="0" applyAlignment="1" applyBorder="1" applyFont="1">
      <alignment horizontal="center" vertical="center"/>
    </xf>
    <xf borderId="23" fillId="0" fontId="18" numFmtId="0" xfId="0" applyBorder="1" applyFont="1"/>
    <xf borderId="0" fillId="0" fontId="18" numFmtId="10" xfId="0" applyFont="1" applyNumberFormat="1"/>
    <xf borderId="14" fillId="0" fontId="17" numFmtId="9" xfId="0" applyAlignment="1" applyBorder="1" applyFont="1" applyNumberFormat="1">
      <alignment horizontal="center"/>
    </xf>
    <xf borderId="0" fillId="0" fontId="18" numFmtId="9" xfId="0" applyAlignment="1" applyFont="1" applyNumberFormat="1">
      <alignment horizontal="center"/>
    </xf>
    <xf borderId="0" fillId="0" fontId="19" numFmtId="0" xfId="0" applyFont="1"/>
    <xf borderId="14" fillId="0" fontId="19" numFmtId="166" xfId="0" applyAlignment="1" applyBorder="1" applyFont="1" applyNumberFormat="1">
      <alignment horizontal="center"/>
    </xf>
    <xf borderId="0" fillId="0" fontId="18" numFmtId="166" xfId="0" applyAlignment="1" applyFont="1" applyNumberFormat="1">
      <alignment horizontal="center" vertical="center"/>
    </xf>
    <xf borderId="14" fillId="0" fontId="18" numFmtId="0" xfId="0" applyAlignment="1" applyBorder="1" applyFont="1">
      <alignment horizontal="center"/>
    </xf>
    <xf borderId="0" fillId="0" fontId="18" numFmtId="9" xfId="0" applyFont="1" applyNumberFormat="1"/>
    <xf borderId="13" fillId="0" fontId="17" numFmtId="0" xfId="0" applyBorder="1" applyFont="1"/>
    <xf borderId="14" fillId="0" fontId="18" numFmtId="166" xfId="0" applyAlignment="1" applyBorder="1" applyFont="1" applyNumberFormat="1">
      <alignment horizontal="center" vertical="center"/>
    </xf>
    <xf borderId="6" fillId="0" fontId="18" numFmtId="166" xfId="0" applyAlignment="1" applyBorder="1" applyFont="1" applyNumberFormat="1">
      <alignment horizontal="center" vertical="center"/>
    </xf>
    <xf borderId="17" fillId="0" fontId="18" numFmtId="0" xfId="0" applyAlignment="1" applyBorder="1" applyFont="1">
      <alignment horizontal="center"/>
    </xf>
    <xf borderId="0" fillId="0" fontId="18" numFmtId="172" xfId="0" applyFont="1" applyNumberFormat="1"/>
    <xf borderId="14" fillId="0" fontId="18" numFmtId="171" xfId="0" applyAlignment="1" applyBorder="1" applyFont="1" applyNumberFormat="1">
      <alignment horizontal="center"/>
    </xf>
    <xf borderId="16" fillId="0" fontId="17" numFmtId="0" xfId="0" applyBorder="1" applyFont="1"/>
    <xf borderId="6" fillId="0" fontId="17" numFmtId="168" xfId="0" applyAlignment="1" applyBorder="1" applyFont="1" applyNumberFormat="1">
      <alignment horizontal="center" vertical="center"/>
    </xf>
    <xf borderId="17" fillId="0" fontId="17" numFmtId="168" xfId="0" applyAlignment="1" applyBorder="1" applyFont="1" applyNumberFormat="1">
      <alignment horizontal="center"/>
    </xf>
    <xf borderId="6" fillId="0" fontId="18" numFmtId="168" xfId="0" applyAlignment="1" applyBorder="1" applyFont="1" applyNumberFormat="1">
      <alignment horizontal="center" vertical="center"/>
    </xf>
    <xf borderId="17" fillId="0" fontId="17" numFmtId="9" xfId="0" applyAlignment="1" applyBorder="1" applyFont="1" applyNumberFormat="1">
      <alignment horizontal="center"/>
    </xf>
    <xf borderId="6" fillId="0" fontId="18" numFmtId="9" xfId="0" applyAlignment="1" applyBorder="1" applyFont="1" applyNumberFormat="1">
      <alignment horizontal="center"/>
    </xf>
    <xf borderId="6" fillId="0" fontId="18" numFmtId="0" xfId="0" applyBorder="1" applyFont="1"/>
    <xf borderId="17" fillId="0" fontId="18" numFmtId="168" xfId="0" applyAlignment="1" applyBorder="1" applyFont="1" applyNumberFormat="1">
      <alignment horizontal="center"/>
    </xf>
    <xf borderId="12" fillId="11" fontId="17" numFmtId="168" xfId="0" applyBorder="1" applyFont="1" applyNumberFormat="1"/>
    <xf borderId="18" fillId="0" fontId="17" numFmtId="0" xfId="0" applyAlignment="1" applyBorder="1" applyFont="1">
      <alignment vertical="center"/>
    </xf>
    <xf borderId="19" fillId="0" fontId="17" numFmtId="0" xfId="0" applyAlignment="1" applyBorder="1" applyFont="1">
      <alignment horizontal="center" vertical="center"/>
    </xf>
    <xf borderId="20" fillId="0" fontId="17" numFmtId="0" xfId="0" applyAlignment="1" applyBorder="1" applyFont="1">
      <alignment horizontal="center" vertical="center"/>
    </xf>
    <xf borderId="0" fillId="0" fontId="18" numFmtId="168" xfId="0" applyAlignment="1" applyFont="1" applyNumberFormat="1">
      <alignment horizontal="center" vertical="center"/>
    </xf>
    <xf borderId="14" fillId="0" fontId="18" numFmtId="9" xfId="0" applyAlignment="1" applyBorder="1" applyFont="1" applyNumberFormat="1">
      <alignment horizontal="center" vertical="center"/>
    </xf>
    <xf borderId="11" fillId="12" fontId="18" numFmtId="168" xfId="0" applyAlignment="1" applyBorder="1" applyFont="1" applyNumberFormat="1">
      <alignment horizontal="center" vertical="center"/>
    </xf>
    <xf borderId="12" fillId="13" fontId="18" numFmtId="9" xfId="0" applyAlignment="1" applyBorder="1" applyFont="1" applyNumberFormat="1">
      <alignment horizontal="center" vertical="center"/>
    </xf>
    <xf borderId="15" fillId="12" fontId="18" numFmtId="168" xfId="0" applyAlignment="1" applyBorder="1" applyFont="1" applyNumberFormat="1">
      <alignment horizontal="center" vertical="center"/>
    </xf>
    <xf borderId="15" fillId="13" fontId="18" numFmtId="9" xfId="0" applyAlignment="1" applyBorder="1" applyFont="1" applyNumberFormat="1">
      <alignment horizontal="center" vertical="center"/>
    </xf>
    <xf borderId="19" fillId="0" fontId="17" numFmtId="168" xfId="0" applyAlignment="1" applyBorder="1" applyFont="1" applyNumberFormat="1">
      <alignment horizontal="center" vertical="center"/>
    </xf>
    <xf borderId="22" fillId="0" fontId="18" numFmtId="168" xfId="0" applyAlignment="1" applyBorder="1" applyFont="1" applyNumberFormat="1">
      <alignment horizontal="center" vertical="center"/>
    </xf>
    <xf borderId="23" fillId="0" fontId="18" numFmtId="9" xfId="0" applyAlignment="1" applyBorder="1" applyFont="1" applyNumberFormat="1">
      <alignment horizontal="center" vertical="center"/>
    </xf>
    <xf borderId="14" fillId="0" fontId="17" numFmtId="0" xfId="0" applyBorder="1" applyFont="1"/>
    <xf borderId="0" fillId="0" fontId="18" numFmtId="0" xfId="0" applyFont="1"/>
    <xf borderId="19" fillId="0" fontId="20" numFmtId="0" xfId="0" applyAlignment="1" applyBorder="1" applyFont="1">
      <alignment horizontal="center" readingOrder="0" vertical="center"/>
    </xf>
    <xf borderId="20" fillId="0" fontId="20" numFmtId="0" xfId="0" applyAlignment="1" applyBorder="1" applyFont="1">
      <alignment horizontal="center" readingOrder="0" vertical="center"/>
    </xf>
    <xf borderId="13" fillId="14" fontId="18" numFmtId="0" xfId="0" applyBorder="1" applyFill="1" applyFont="1"/>
    <xf borderId="0" fillId="0" fontId="21" numFmtId="168" xfId="0" applyAlignment="1" applyFont="1" applyNumberFormat="1">
      <alignment horizontal="center" readingOrder="0"/>
    </xf>
    <xf borderId="0" fillId="0" fontId="21" numFmtId="168" xfId="0" applyAlignment="1" applyFont="1" applyNumberFormat="1">
      <alignment horizontal="center" readingOrder="0" vertical="center"/>
    </xf>
    <xf borderId="14" fillId="0" fontId="21" numFmtId="168" xfId="0" applyAlignment="1" applyBorder="1" applyFont="1" applyNumberFormat="1">
      <alignment horizontal="center" readingOrder="0" vertical="center"/>
    </xf>
    <xf borderId="13" fillId="14" fontId="21" numFmtId="0" xfId="0" applyAlignment="1" applyBorder="1" applyFont="1">
      <alignment readingOrder="0"/>
    </xf>
    <xf borderId="0" fillId="0" fontId="18" numFmtId="168" xfId="0" applyAlignment="1" applyFont="1" applyNumberFormat="1">
      <alignment horizontal="center"/>
    </xf>
    <xf borderId="13" fillId="15" fontId="18" numFmtId="0" xfId="0" applyBorder="1" applyFill="1" applyFont="1"/>
    <xf borderId="24" fillId="14" fontId="18" numFmtId="0" xfId="0" applyBorder="1" applyFont="1"/>
    <xf borderId="14" fillId="0" fontId="18" numFmtId="168" xfId="0" applyAlignment="1" applyBorder="1" applyFont="1" applyNumberFormat="1">
      <alignment horizontal="center" vertical="center"/>
    </xf>
    <xf borderId="24" fillId="16" fontId="18" numFmtId="0" xfId="0" applyBorder="1" applyFill="1" applyFont="1"/>
    <xf borderId="24" fillId="0" fontId="18" numFmtId="0" xfId="0" applyBorder="1" applyFont="1"/>
    <xf borderId="24" fillId="14" fontId="21" numFmtId="0" xfId="0" applyAlignment="1" applyBorder="1" applyFont="1">
      <alignment readingOrder="0"/>
    </xf>
    <xf borderId="13" fillId="15" fontId="21" numFmtId="0" xfId="0" applyAlignment="1" applyBorder="1" applyFont="1">
      <alignment readingOrder="0"/>
    </xf>
    <xf borderId="13" fillId="17" fontId="21" numFmtId="0" xfId="0" applyAlignment="1" applyBorder="1" applyFill="1" applyFont="1">
      <alignment readingOrder="0"/>
    </xf>
    <xf borderId="17" fillId="0" fontId="18" numFmtId="168" xfId="0" applyAlignment="1" applyBorder="1" applyFont="1" applyNumberFormat="1">
      <alignment horizontal="center" vertical="center"/>
    </xf>
    <xf borderId="18" fillId="0" fontId="18" numFmtId="0" xfId="0" applyBorder="1" applyFont="1"/>
    <xf borderId="19" fillId="0" fontId="18" numFmtId="168" xfId="0" applyBorder="1" applyFont="1" applyNumberFormat="1"/>
    <xf borderId="19" fillId="0" fontId="18" numFmtId="168" xfId="0" applyAlignment="1" applyBorder="1" applyFont="1" applyNumberFormat="1">
      <alignment horizontal="center" vertical="center"/>
    </xf>
    <xf borderId="20" fillId="0" fontId="18" numFmtId="168" xfId="0" applyBorder="1" applyFont="1" applyNumberFormat="1"/>
    <xf borderId="19" fillId="0" fontId="18" numFmtId="0" xfId="0" applyBorder="1" applyFont="1"/>
    <xf borderId="20" fillId="0" fontId="18" numFmtId="0" xfId="0" applyBorder="1" applyFont="1"/>
    <xf borderId="19" fillId="0" fontId="18" numFmtId="0" xfId="0" applyAlignment="1" applyBorder="1" applyFont="1">
      <alignment horizontal="center" vertical="center"/>
    </xf>
    <xf borderId="20" fillId="0" fontId="18" numFmtId="0" xfId="0" applyAlignment="1" applyBorder="1" applyFont="1">
      <alignment horizontal="center"/>
    </xf>
    <xf borderId="0" fillId="0" fontId="2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8" numFmtId="165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readingOrder="0"/>
    </xf>
    <xf borderId="0" fillId="0" fontId="1" numFmtId="168" xfId="0" applyAlignment="1" applyFont="1" applyNumberFormat="1">
      <alignment readingOrder="0"/>
    </xf>
    <xf borderId="0" fillId="0" fontId="18" numFmtId="173" xfId="0" applyAlignment="1" applyFont="1" applyNumberFormat="1">
      <alignment horizontal="center" vertical="center"/>
    </xf>
    <xf borderId="0" fillId="0" fontId="1" numFmtId="0" xfId="0" applyAlignment="1" applyFont="1">
      <alignment readingOrder="0"/>
    </xf>
    <xf borderId="0" fillId="0" fontId="14" numFmtId="10" xfId="0" applyAlignment="1" applyFont="1" applyNumberFormat="1">
      <alignment horizontal="center"/>
    </xf>
    <xf borderId="0" fillId="0" fontId="21" numFmtId="0" xfId="0" applyAlignment="1" applyFont="1">
      <alignment horizontal="left" readingOrder="0"/>
    </xf>
    <xf borderId="0" fillId="0" fontId="21" numFmtId="9" xfId="0" applyAlignment="1" applyFont="1" applyNumberFormat="1">
      <alignment horizontal="center" readingOrder="0" vertical="center"/>
    </xf>
    <xf borderId="18" fillId="0" fontId="20" numFmtId="0" xfId="0" applyAlignment="1" applyBorder="1" applyFont="1">
      <alignment readingOrder="0" vertical="center"/>
    </xf>
    <xf borderId="0" fillId="0" fontId="1" numFmtId="9" xfId="0" applyAlignment="1" applyFont="1" applyNumberFormat="1">
      <alignment horizontal="center" readingOrder="0"/>
    </xf>
    <xf borderId="0" fillId="0" fontId="14" numFmtId="165" xfId="0" applyAlignment="1" applyFont="1" applyNumberFormat="1">
      <alignment horizontal="center"/>
    </xf>
    <xf borderId="6" fillId="0" fontId="22" numFmtId="0" xfId="0" applyBorder="1" applyFont="1"/>
    <xf borderId="13" fillId="0" fontId="17" numFmtId="0" xfId="0" applyAlignment="1" applyBorder="1" applyFont="1">
      <alignment horizontal="center" vertical="center"/>
    </xf>
    <xf borderId="14" fillId="0" fontId="17" numFmtId="0" xfId="0" applyAlignment="1" applyBorder="1" applyFont="1">
      <alignment horizontal="center" vertical="center"/>
    </xf>
    <xf borderId="25" fillId="18" fontId="18" numFmtId="0" xfId="0" applyBorder="1" applyFill="1" applyFont="1"/>
    <xf borderId="13" fillId="0" fontId="18" numFmtId="168" xfId="0" applyAlignment="1" applyBorder="1" applyFont="1" applyNumberFormat="1">
      <alignment horizontal="center" vertical="center"/>
    </xf>
    <xf borderId="16" fillId="0" fontId="18" numFmtId="9" xfId="0" applyAlignment="1" applyBorder="1" applyFont="1" applyNumberFormat="1">
      <alignment horizontal="center"/>
    </xf>
    <xf borderId="17" fillId="0" fontId="18" numFmtId="9" xfId="0" applyAlignment="1" applyBorder="1" applyFont="1" applyNumberFormat="1">
      <alignment horizontal="center"/>
    </xf>
    <xf borderId="13" fillId="0" fontId="18" numFmtId="166" xfId="0" applyAlignment="1" applyBorder="1" applyFont="1" applyNumberFormat="1">
      <alignment horizontal="center" vertical="center"/>
    </xf>
    <xf borderId="14" fillId="0" fontId="18" numFmtId="0" xfId="0" applyAlignment="1" applyBorder="1" applyFont="1">
      <alignment horizontal="center" vertical="center"/>
    </xf>
    <xf borderId="15" fillId="11" fontId="18" numFmtId="0" xfId="0" applyAlignment="1" applyBorder="1" applyFont="1">
      <alignment horizontal="center" vertical="center"/>
    </xf>
    <xf borderId="14" fillId="19" fontId="21" numFmtId="0" xfId="0" applyAlignment="1" applyBorder="1" applyFill="1" applyFont="1">
      <alignment readingOrder="0"/>
    </xf>
    <xf borderId="13" fillId="19" fontId="21" numFmtId="166" xfId="0" applyAlignment="1" applyBorder="1" applyFont="1" applyNumberFormat="1">
      <alignment horizontal="center" readingOrder="0" vertical="center"/>
    </xf>
    <xf borderId="0" fillId="19" fontId="18" numFmtId="166" xfId="0" applyAlignment="1" applyFont="1" applyNumberFormat="1">
      <alignment horizontal="center" vertical="center"/>
    </xf>
    <xf borderId="14" fillId="19" fontId="18" numFmtId="166" xfId="0" applyAlignment="1" applyBorder="1" applyFont="1" applyNumberFormat="1">
      <alignment horizontal="center" vertical="center"/>
    </xf>
    <xf borderId="0" fillId="19" fontId="21" numFmtId="166" xfId="0" applyAlignment="1" applyFont="1" applyNumberFormat="1">
      <alignment horizontal="center" readingOrder="0" vertical="center"/>
    </xf>
    <xf borderId="0" fillId="0" fontId="1" numFmtId="174" xfId="0" applyAlignment="1" applyFont="1" applyNumberFormat="1">
      <alignment horizontal="center" readingOrder="0"/>
    </xf>
    <xf borderId="13" fillId="19" fontId="18" numFmtId="166" xfId="0" applyAlignment="1" applyBorder="1" applyFont="1" applyNumberFormat="1">
      <alignment horizontal="center" vertical="center"/>
    </xf>
    <xf borderId="25" fillId="11" fontId="18" numFmtId="166" xfId="0" applyAlignment="1" applyBorder="1" applyFont="1" applyNumberFormat="1">
      <alignment horizontal="center" vertical="center"/>
    </xf>
    <xf borderId="15" fillId="16" fontId="18" numFmtId="166" xfId="0" applyAlignment="1" applyBorder="1" applyFont="1" applyNumberFormat="1">
      <alignment horizontal="center" vertical="center"/>
    </xf>
    <xf borderId="15" fillId="16" fontId="21" numFmtId="166" xfId="0" applyAlignment="1" applyBorder="1" applyFont="1" applyNumberFormat="1">
      <alignment horizontal="center" readingOrder="0" vertical="center"/>
    </xf>
    <xf borderId="25" fillId="11" fontId="21" numFmtId="9" xfId="0" applyAlignment="1" applyBorder="1" applyFont="1" applyNumberFormat="1">
      <alignment horizontal="center" readingOrder="0" vertical="center"/>
    </xf>
    <xf borderId="0" fillId="0" fontId="14" numFmtId="0" xfId="0" applyAlignment="1" applyFont="1">
      <alignment horizontal="center"/>
    </xf>
    <xf borderId="0" fillId="0" fontId="23" numFmtId="165" xfId="0" applyAlignment="1" applyFont="1" applyNumberFormat="1">
      <alignment horizontal="center"/>
    </xf>
    <xf borderId="0" fillId="0" fontId="23" numFmtId="0" xfId="0" applyAlignment="1" applyFont="1">
      <alignment horizontal="center"/>
    </xf>
    <xf borderId="14" fillId="0" fontId="18" numFmtId="168" xfId="0" applyBorder="1" applyFont="1" applyNumberFormat="1"/>
    <xf borderId="15" fillId="16" fontId="18" numFmtId="168" xfId="0" applyBorder="1" applyFont="1" applyNumberFormat="1"/>
    <xf borderId="25" fillId="18" fontId="17" numFmtId="0" xfId="0" applyBorder="1" applyFont="1"/>
    <xf borderId="24" fillId="18" fontId="17" numFmtId="168" xfId="0" applyAlignment="1" applyBorder="1" applyFont="1" applyNumberFormat="1">
      <alignment horizontal="center" vertical="center"/>
    </xf>
    <xf borderId="15" fillId="18" fontId="17" numFmtId="168" xfId="0" applyAlignment="1" applyBorder="1" applyFont="1" applyNumberFormat="1">
      <alignment horizontal="center" vertical="center"/>
    </xf>
    <xf borderId="25" fillId="18" fontId="17" numFmtId="168" xfId="0" applyAlignment="1" applyBorder="1" applyFont="1" applyNumberFormat="1">
      <alignment horizontal="center" vertical="center"/>
    </xf>
    <xf borderId="0" fillId="0" fontId="24" numFmtId="0" xfId="0" applyAlignment="1" applyFont="1">
      <alignment readingOrder="0"/>
    </xf>
    <xf borderId="14" fillId="20" fontId="21" numFmtId="0" xfId="0" applyAlignment="1" applyBorder="1" applyFill="1" applyFont="1">
      <alignment readingOrder="0"/>
    </xf>
    <xf borderId="13" fillId="20" fontId="18" numFmtId="168" xfId="0" applyAlignment="1" applyBorder="1" applyFont="1" applyNumberFormat="1">
      <alignment horizontal="center" vertical="center"/>
    </xf>
    <xf borderId="0" fillId="20" fontId="18" numFmtId="168" xfId="0" applyAlignment="1" applyFont="1" applyNumberFormat="1">
      <alignment horizontal="center" vertical="center"/>
    </xf>
    <xf borderId="14" fillId="20" fontId="18" numFmtId="168" xfId="0" applyAlignment="1" applyBorder="1" applyFont="1" applyNumberFormat="1">
      <alignment horizontal="center" vertical="center"/>
    </xf>
    <xf borderId="14" fillId="18" fontId="20" numFmtId="0" xfId="0" applyAlignment="1" applyBorder="1" applyFont="1">
      <alignment readingOrder="0"/>
    </xf>
    <xf borderId="13" fillId="18" fontId="18" numFmtId="168" xfId="0" applyAlignment="1" applyBorder="1" applyFont="1" applyNumberFormat="1">
      <alignment horizontal="center" vertical="center"/>
    </xf>
    <xf borderId="0" fillId="18" fontId="18" numFmtId="168" xfId="0" applyAlignment="1" applyFont="1" applyNumberFormat="1">
      <alignment horizontal="center" vertical="center"/>
    </xf>
    <xf borderId="14" fillId="18" fontId="18" numFmtId="168" xfId="0" applyAlignment="1" applyBorder="1" applyFont="1" applyNumberFormat="1">
      <alignment horizontal="center" vertical="center"/>
    </xf>
    <xf borderId="0" fillId="18" fontId="17" numFmtId="168" xfId="0" applyAlignment="1" applyFont="1" applyNumberFormat="1">
      <alignment horizontal="center" vertical="center"/>
    </xf>
    <xf borderId="25" fillId="21" fontId="20" numFmtId="0" xfId="0" applyAlignment="1" applyBorder="1" applyFill="1" applyFont="1">
      <alignment readingOrder="0"/>
    </xf>
    <xf borderId="24" fillId="21" fontId="18" numFmtId="0" xfId="0" applyAlignment="1" applyBorder="1" applyFont="1">
      <alignment horizontal="center" vertical="center"/>
    </xf>
    <xf borderId="15" fillId="21" fontId="18" numFmtId="9" xfId="0" applyAlignment="1" applyBorder="1" applyFont="1" applyNumberFormat="1">
      <alignment horizontal="center" vertical="center"/>
    </xf>
    <xf borderId="25" fillId="21" fontId="20" numFmtId="9" xfId="0" applyAlignment="1" applyBorder="1" applyFont="1" applyNumberFormat="1">
      <alignment horizontal="center" readingOrder="0" vertical="center"/>
    </xf>
    <xf borderId="15" fillId="21" fontId="17" numFmtId="165" xfId="0" applyAlignment="1" applyBorder="1" applyFont="1" applyNumberFormat="1">
      <alignment horizontal="center" vertical="center"/>
    </xf>
    <xf borderId="15" fillId="21" fontId="18" numFmtId="165" xfId="0" applyBorder="1" applyFont="1" applyNumberFormat="1"/>
    <xf borderId="0" fillId="21" fontId="18" numFmtId="165" xfId="0" applyFont="1" applyNumberFormat="1"/>
    <xf borderId="25" fillId="21" fontId="21" numFmtId="0" xfId="0" applyAlignment="1" applyBorder="1" applyFont="1">
      <alignment readingOrder="0"/>
    </xf>
    <xf borderId="25" fillId="21" fontId="21" numFmtId="9" xfId="0" applyAlignment="1" applyBorder="1" applyFont="1" applyNumberFormat="1">
      <alignment horizontal="center" readingOrder="0" vertical="center"/>
    </xf>
    <xf borderId="15" fillId="21" fontId="18" numFmtId="165" xfId="0" applyAlignment="1" applyBorder="1" applyFont="1" applyNumberFormat="1">
      <alignment horizontal="center" vertical="center"/>
    </xf>
    <xf borderId="25" fillId="16" fontId="20" numFmtId="0" xfId="0" applyAlignment="1" applyBorder="1" applyFont="1">
      <alignment readingOrder="0"/>
    </xf>
    <xf borderId="24" fillId="16" fontId="17" numFmtId="0" xfId="0" applyAlignment="1" applyBorder="1" applyFont="1">
      <alignment horizontal="center" vertical="center"/>
    </xf>
    <xf borderId="15" fillId="16" fontId="17" numFmtId="9" xfId="0" applyAlignment="1" applyBorder="1" applyFont="1" applyNumberFormat="1">
      <alignment horizontal="center" vertical="center"/>
    </xf>
    <xf borderId="25" fillId="16" fontId="17" numFmtId="9" xfId="0" applyAlignment="1" applyBorder="1" applyFont="1" applyNumberFormat="1">
      <alignment horizontal="center" vertical="center"/>
    </xf>
    <xf borderId="15" fillId="16" fontId="17" numFmtId="165" xfId="0" applyAlignment="1" applyBorder="1" applyFont="1" applyNumberFormat="1">
      <alignment horizontal="center" vertical="center"/>
    </xf>
    <xf borderId="15" fillId="16" fontId="17" numFmtId="0" xfId="0" applyBorder="1" applyFont="1"/>
    <xf borderId="0" fillId="16" fontId="17" numFmtId="0" xfId="0" applyFont="1"/>
    <xf borderId="15" fillId="16" fontId="17" numFmtId="10" xfId="0" applyAlignment="1" applyBorder="1" applyFont="1" applyNumberFormat="1">
      <alignment horizontal="center" vertical="center"/>
    </xf>
    <xf borderId="25" fillId="22" fontId="20" numFmtId="0" xfId="0" applyAlignment="1" applyBorder="1" applyFill="1" applyFont="1">
      <alignment readingOrder="0"/>
    </xf>
    <xf borderId="24" fillId="22" fontId="18" numFmtId="0" xfId="0" applyAlignment="1" applyBorder="1" applyFont="1">
      <alignment horizontal="center" vertical="center"/>
    </xf>
    <xf borderId="15" fillId="22" fontId="21" numFmtId="0" xfId="0" applyAlignment="1" applyBorder="1" applyFont="1">
      <alignment horizontal="center" readingOrder="0" vertical="center"/>
    </xf>
    <xf borderId="25" fillId="22" fontId="20" numFmtId="9" xfId="0" applyAlignment="1" applyBorder="1" applyFont="1" applyNumberFormat="1">
      <alignment horizontal="center" readingOrder="0" vertical="center"/>
    </xf>
    <xf borderId="15" fillId="22" fontId="18" numFmtId="10" xfId="0" applyAlignment="1" applyBorder="1" applyFont="1" applyNumberFormat="1">
      <alignment horizontal="center" vertical="center"/>
    </xf>
    <xf borderId="15" fillId="22" fontId="18" numFmtId="0" xfId="0" applyBorder="1" applyFont="1"/>
    <xf borderId="0" fillId="22" fontId="18" numFmtId="0" xfId="0" applyFont="1"/>
    <xf borderId="25" fillId="23" fontId="20" numFmtId="0" xfId="0" applyAlignment="1" applyBorder="1" applyFill="1" applyFont="1">
      <alignment readingOrder="0"/>
    </xf>
    <xf borderId="24" fillId="23" fontId="18" numFmtId="0" xfId="0" applyAlignment="1" applyBorder="1" applyFont="1">
      <alignment horizontal="center" vertical="center"/>
    </xf>
    <xf borderId="15" fillId="23" fontId="18" numFmtId="9" xfId="0" applyAlignment="1" applyBorder="1" applyFont="1" applyNumberFormat="1">
      <alignment horizontal="center" vertical="center"/>
    </xf>
    <xf borderId="25" fillId="23" fontId="20" numFmtId="9" xfId="0" applyAlignment="1" applyBorder="1" applyFont="1" applyNumberFormat="1">
      <alignment horizontal="center" readingOrder="0" vertical="center"/>
    </xf>
    <xf borderId="0" fillId="23" fontId="18" numFmtId="0" xfId="0" applyFont="1"/>
    <xf borderId="25" fillId="23" fontId="21" numFmtId="0" xfId="0" applyAlignment="1" applyBorder="1" applyFont="1">
      <alignment readingOrder="0"/>
    </xf>
    <xf borderId="25" fillId="23" fontId="21" numFmtId="9" xfId="0" applyAlignment="1" applyBorder="1" applyFont="1" applyNumberFormat="1">
      <alignment horizontal="center" readingOrder="0" vertical="center"/>
    </xf>
    <xf borderId="15" fillId="22" fontId="18" numFmtId="9" xfId="0" applyAlignment="1" applyBorder="1" applyFont="1" applyNumberFormat="1">
      <alignment horizontal="center" vertical="center"/>
    </xf>
    <xf borderId="25" fillId="22" fontId="21" numFmtId="9" xfId="0" applyAlignment="1" applyBorder="1" applyFont="1" applyNumberFormat="1">
      <alignment horizontal="center" readingOrder="0" vertical="center"/>
    </xf>
    <xf borderId="14" fillId="5" fontId="25" numFmtId="0" xfId="0" applyAlignment="1" applyBorder="1" applyFont="1">
      <alignment readingOrder="0"/>
    </xf>
    <xf borderId="13" fillId="5" fontId="26" numFmtId="168" xfId="0" applyAlignment="1" applyBorder="1" applyFont="1" applyNumberFormat="1">
      <alignment horizontal="center" vertical="center"/>
    </xf>
    <xf borderId="0" fillId="5" fontId="26" numFmtId="168" xfId="0" applyAlignment="1" applyFont="1" applyNumberFormat="1">
      <alignment horizontal="center" vertical="center"/>
    </xf>
    <xf borderId="14" fillId="5" fontId="26" numFmtId="168" xfId="0" applyAlignment="1" applyBorder="1" applyFont="1" applyNumberFormat="1">
      <alignment horizontal="center" vertical="center"/>
    </xf>
    <xf borderId="15" fillId="5" fontId="26" numFmtId="168" xfId="0" applyAlignment="1" applyBorder="1" applyFont="1" applyNumberFormat="1">
      <alignment horizontal="center" vertical="center"/>
    </xf>
    <xf borderId="0" fillId="5" fontId="27" numFmtId="0" xfId="0" applyFont="1"/>
    <xf borderId="14" fillId="5" fontId="28" numFmtId="168" xfId="0" applyAlignment="1" applyBorder="1" applyFont="1" applyNumberFormat="1">
      <alignment horizontal="center" readingOrder="0" vertical="center"/>
    </xf>
    <xf borderId="15" fillId="5" fontId="26" numFmtId="10" xfId="0" applyAlignment="1" applyBorder="1" applyFont="1" applyNumberFormat="1">
      <alignment horizontal="center" vertical="center"/>
    </xf>
    <xf borderId="25" fillId="24" fontId="20" numFmtId="0" xfId="0" applyAlignment="1" applyBorder="1" applyFill="1" applyFont="1">
      <alignment readingOrder="0"/>
    </xf>
    <xf borderId="24" fillId="24" fontId="17" numFmtId="0" xfId="0" applyAlignment="1" applyBorder="1" applyFont="1">
      <alignment horizontal="center" vertical="center"/>
    </xf>
    <xf borderId="15" fillId="24" fontId="17" numFmtId="9" xfId="0" applyAlignment="1" applyBorder="1" applyFont="1" applyNumberFormat="1">
      <alignment horizontal="center" vertical="center"/>
    </xf>
    <xf borderId="25" fillId="24" fontId="17" numFmtId="9" xfId="0" applyAlignment="1" applyBorder="1" applyFont="1" applyNumberFormat="1">
      <alignment horizontal="center" vertical="center"/>
    </xf>
    <xf borderId="15" fillId="24" fontId="17" numFmtId="0" xfId="0" applyBorder="1" applyFont="1"/>
    <xf borderId="0" fillId="24" fontId="17" numFmtId="0" xfId="0" applyFont="1"/>
    <xf borderId="0" fillId="0" fontId="18" numFmtId="12" xfId="0" applyAlignment="1" applyFont="1" applyNumberFormat="1">
      <alignment horizontal="center" vertical="center"/>
    </xf>
    <xf borderId="15" fillId="25" fontId="18" numFmtId="168" xfId="0" applyAlignment="1" applyBorder="1" applyFill="1" applyFont="1" applyNumberFormat="1">
      <alignment horizontal="center" vertical="center"/>
    </xf>
    <xf borderId="0" fillId="0" fontId="18" numFmtId="16" xfId="0" applyAlignment="1" applyFont="1" applyNumberFormat="1">
      <alignment horizontal="center" vertical="center"/>
    </xf>
    <xf borderId="15" fillId="25" fontId="18" numFmtId="0" xfId="0" applyAlignment="1" applyBorder="1" applyFont="1">
      <alignment horizontal="center" vertical="center"/>
    </xf>
    <xf borderId="15" fillId="12" fontId="18" numFmtId="0" xfId="0" applyAlignment="1" applyBorder="1" applyFont="1">
      <alignment horizontal="center"/>
    </xf>
    <xf borderId="15" fillId="12" fontId="18" numFmtId="168" xfId="0" applyBorder="1" applyFont="1" applyNumberFormat="1"/>
    <xf borderId="0" fillId="18" fontId="18" numFmtId="0" xfId="0" applyFont="1"/>
    <xf borderId="15" fillId="18" fontId="18" numFmtId="168" xfId="0" applyBorder="1" applyFont="1" applyNumberFormat="1"/>
    <xf borderId="15" fillId="18" fontId="18" numFmtId="0" xfId="0" applyBorder="1" applyFont="1"/>
    <xf borderId="26" fillId="18" fontId="17" numFmtId="168" xfId="0" applyAlignment="1" applyBorder="1" applyFont="1" applyNumberFormat="1">
      <alignment horizontal="center" vertical="center"/>
    </xf>
    <xf borderId="27" fillId="26" fontId="26" numFmtId="0" xfId="0" applyBorder="1" applyFill="1" applyFont="1"/>
    <xf borderId="28" fillId="0" fontId="17" numFmtId="168" xfId="0" applyAlignment="1" applyBorder="1" applyFont="1" applyNumberFormat="1">
      <alignment horizontal="center" vertical="center"/>
    </xf>
    <xf borderId="29" fillId="18" fontId="18" numFmtId="168" xfId="0" applyAlignment="1" applyBorder="1" applyFont="1" applyNumberFormat="1">
      <alignment horizontal="center" vertical="center"/>
    </xf>
    <xf borderId="30" fillId="18" fontId="18" numFmtId="168" xfId="0" applyAlignment="1" applyBorder="1" applyFont="1" applyNumberFormat="1">
      <alignment horizontal="center" vertical="center"/>
    </xf>
    <xf borderId="31" fillId="0" fontId="17" numFmtId="168" xfId="0" applyAlignment="1" applyBorder="1" applyFont="1" applyNumberFormat="1">
      <alignment horizontal="center" vertical="center"/>
    </xf>
    <xf borderId="15" fillId="25" fontId="18" numFmtId="0" xfId="0" applyBorder="1" applyFont="1"/>
    <xf borderId="24" fillId="25" fontId="18" numFmtId="168" xfId="0" applyAlignment="1" applyBorder="1" applyFont="1" applyNumberFormat="1">
      <alignment horizontal="center" vertical="center"/>
    </xf>
    <xf borderId="15" fillId="25" fontId="18" numFmtId="9" xfId="0" applyAlignment="1" applyBorder="1" applyFont="1" applyNumberFormat="1">
      <alignment horizontal="center" vertical="center"/>
    </xf>
    <xf borderId="25" fillId="25" fontId="18" numFmtId="168" xfId="0" applyAlignment="1" applyBorder="1" applyFont="1" applyNumberFormat="1">
      <alignment horizontal="center" vertical="center"/>
    </xf>
    <xf borderId="0" fillId="25" fontId="18" numFmtId="0" xfId="0" applyFont="1"/>
    <xf borderId="15" fillId="12" fontId="18" numFmtId="0" xfId="0" applyBorder="1" applyFont="1"/>
    <xf borderId="24" fillId="18" fontId="18" numFmtId="0" xfId="0" applyAlignment="1" applyBorder="1" applyFont="1">
      <alignment horizontal="center" vertical="center"/>
    </xf>
    <xf borderId="15" fillId="18" fontId="18" numFmtId="0" xfId="0" applyAlignment="1" applyBorder="1" applyFont="1">
      <alignment horizontal="center" vertical="center"/>
    </xf>
    <xf borderId="25" fillId="18" fontId="18" numFmtId="0" xfId="0" applyAlignment="1" applyBorder="1" applyFont="1">
      <alignment horizontal="center" vertical="center"/>
    </xf>
    <xf borderId="25" fillId="16" fontId="18" numFmtId="0" xfId="0" applyBorder="1" applyFont="1"/>
    <xf borderId="15" fillId="16" fontId="18" numFmtId="0" xfId="0" applyBorder="1" applyFont="1"/>
    <xf borderId="25" fillId="16" fontId="18" numFmtId="0" xfId="0" applyAlignment="1" applyBorder="1" applyFont="1">
      <alignment horizontal="center" vertical="center"/>
    </xf>
    <xf borderId="15" fillId="16" fontId="18" numFmtId="168" xfId="0" applyAlignment="1" applyBorder="1" applyFont="1" applyNumberFormat="1">
      <alignment horizontal="center" vertical="center"/>
    </xf>
    <xf borderId="0" fillId="16" fontId="18" numFmtId="0" xfId="0" applyFont="1"/>
    <xf borderId="25" fillId="25" fontId="18" numFmtId="0" xfId="0" applyBorder="1" applyFont="1"/>
    <xf borderId="25" fillId="25" fontId="18" numFmtId="9" xfId="0" applyAlignment="1" applyBorder="1" applyFont="1" applyNumberFormat="1">
      <alignment horizontal="center" vertical="center"/>
    </xf>
    <xf borderId="15" fillId="18" fontId="18" numFmtId="168" xfId="0" applyAlignment="1" applyBorder="1" applyFont="1" applyNumberFormat="1">
      <alignment horizontal="center" vertical="center"/>
    </xf>
    <xf borderId="25" fillId="12" fontId="18" numFmtId="0" xfId="0" applyBorder="1" applyFont="1"/>
    <xf borderId="24" fillId="12" fontId="18" numFmtId="168" xfId="0" applyAlignment="1" applyBorder="1" applyFont="1" applyNumberFormat="1">
      <alignment horizontal="center" vertical="center"/>
    </xf>
    <xf borderId="13" fillId="0" fontId="18" numFmtId="168" xfId="0" applyBorder="1" applyFont="1" applyNumberFormat="1"/>
    <xf borderId="15" fillId="27" fontId="17" numFmtId="0" xfId="0" applyBorder="1" applyFill="1" applyFont="1"/>
    <xf borderId="15" fillId="27" fontId="18" numFmtId="0" xfId="0" applyBorder="1" applyFont="1"/>
    <xf borderId="24" fillId="27" fontId="18" numFmtId="0" xfId="0" applyBorder="1" applyFont="1"/>
    <xf borderId="0" fillId="27" fontId="18" numFmtId="0" xfId="0" applyFont="1"/>
    <xf borderId="0" fillId="11" fontId="23" numFmtId="0" xfId="0" applyAlignment="1" applyFont="1">
      <alignment horizontal="center"/>
    </xf>
    <xf borderId="0" fillId="11" fontId="20" numFmtId="174" xfId="0" applyAlignment="1" applyFont="1" applyNumberFormat="1">
      <alignment horizontal="center" readingOrder="0"/>
    </xf>
    <xf borderId="13" fillId="0" fontId="18" numFmtId="167" xfId="0" applyAlignment="1" applyBorder="1" applyFont="1" applyNumberFormat="1">
      <alignment horizontal="center" vertical="center"/>
    </xf>
    <xf borderId="0" fillId="0" fontId="18" numFmtId="167" xfId="0" applyAlignment="1" applyFont="1" applyNumberFormat="1">
      <alignment horizontal="center" vertical="center"/>
    </xf>
    <xf borderId="15" fillId="18" fontId="17" numFmtId="0" xfId="0" applyBorder="1" applyFont="1"/>
    <xf borderId="15" fillId="18" fontId="17" numFmtId="169" xfId="0" applyBorder="1" applyFont="1" applyNumberFormat="1"/>
    <xf borderId="15" fillId="18" fontId="18" numFmtId="169" xfId="0" applyBorder="1" applyFont="1" applyNumberFormat="1"/>
    <xf borderId="0" fillId="0" fontId="18" numFmtId="169" xfId="0" applyFont="1" applyNumberFormat="1"/>
    <xf borderId="0" fillId="0" fontId="23" numFmtId="0" xfId="0" applyFont="1"/>
    <xf borderId="0" fillId="0" fontId="17" numFmtId="9" xfId="0" applyFont="1" applyNumberFormat="1"/>
    <xf borderId="0" fillId="0" fontId="17" numFmtId="169" xfId="0" applyFont="1" applyNumberFormat="1"/>
    <xf borderId="25" fillId="25" fontId="18" numFmtId="9" xfId="0" applyAlignment="1" applyBorder="1" applyFont="1" applyNumberFormat="1">
      <alignment horizontal="center"/>
    </xf>
    <xf borderId="25" fillId="12" fontId="21" numFmtId="9" xfId="0" applyAlignment="1" applyBorder="1" applyFont="1" applyNumberFormat="1">
      <alignment readingOrder="0"/>
    </xf>
    <xf borderId="15" fillId="12" fontId="18" numFmtId="169" xfId="0" applyBorder="1" applyFont="1" applyNumberFormat="1"/>
    <xf borderId="0" fillId="12" fontId="18" numFmtId="0" xfId="0" applyFont="1"/>
    <xf borderId="24" fillId="18" fontId="17" numFmtId="169" xfId="0" applyBorder="1" applyFont="1" applyNumberFormat="1"/>
    <xf borderId="25" fillId="18" fontId="17" numFmtId="169" xfId="0" applyBorder="1" applyFont="1" applyNumberFormat="1"/>
    <xf borderId="15" fillId="18" fontId="17" numFmtId="165" xfId="0" applyAlignment="1" applyBorder="1" applyFont="1" applyNumberFormat="1">
      <alignment horizontal="center"/>
    </xf>
    <xf borderId="0" fillId="18" fontId="17" numFmtId="0" xfId="0" applyFont="1"/>
    <xf borderId="0" fillId="28" fontId="1" numFmtId="0" xfId="0" applyAlignment="1" applyFill="1" applyFont="1">
      <alignment readingOrder="0"/>
    </xf>
    <xf borderId="0" fillId="28" fontId="18" numFmtId="168" xfId="0" applyFont="1" applyNumberFormat="1"/>
    <xf borderId="0" fillId="28" fontId="14" numFmtId="0" xfId="0" applyFont="1"/>
    <xf borderId="0" fillId="28" fontId="14" numFmtId="165" xfId="0" applyFont="1" applyNumberFormat="1"/>
    <xf borderId="13" fillId="0" fontId="18" numFmtId="167" xfId="0" applyBorder="1" applyFont="1" applyNumberFormat="1"/>
    <xf borderId="0" fillId="0" fontId="14" numFmtId="167" xfId="0" applyFont="1" applyNumberFormat="1"/>
    <xf borderId="15" fillId="26" fontId="29" numFmtId="0" xfId="0" applyAlignment="1" applyBorder="1" applyFont="1">
      <alignment horizontal="center" vertical="center"/>
    </xf>
    <xf borderId="15" fillId="26" fontId="29" numFmtId="168" xfId="0" applyAlignment="1" applyBorder="1" applyFont="1" applyNumberFormat="1">
      <alignment horizontal="center" vertical="center"/>
    </xf>
    <xf borderId="25" fillId="26" fontId="29" numFmtId="168" xfId="0" applyAlignment="1" applyBorder="1" applyFont="1" applyNumberFormat="1">
      <alignment horizontal="center" vertical="center"/>
    </xf>
    <xf borderId="15" fillId="26" fontId="30" numFmtId="0" xfId="0" applyAlignment="1" applyBorder="1" applyFont="1">
      <alignment horizontal="center" vertical="center"/>
    </xf>
    <xf borderId="0" fillId="26" fontId="30" numFmtId="0" xfId="0" applyAlignment="1" applyFont="1">
      <alignment horizontal="center" vertical="center"/>
    </xf>
    <xf borderId="15" fillId="12" fontId="31" numFmtId="0" xfId="0" applyAlignment="1" applyBorder="1" applyFont="1">
      <alignment horizontal="center" vertical="center"/>
    </xf>
    <xf borderId="15" fillId="12" fontId="31" numFmtId="9" xfId="0" applyAlignment="1" applyBorder="1" applyFont="1" applyNumberFormat="1">
      <alignment horizontal="center" vertical="center"/>
    </xf>
    <xf borderId="15" fillId="12" fontId="31" numFmtId="168" xfId="0" applyAlignment="1" applyBorder="1" applyFont="1" applyNumberFormat="1">
      <alignment horizontal="center" vertical="center"/>
    </xf>
    <xf borderId="25" fillId="12" fontId="31" numFmtId="168" xfId="0" applyAlignment="1" applyBorder="1" applyFont="1" applyNumberFormat="1">
      <alignment horizontal="center" vertical="center"/>
    </xf>
    <xf borderId="15" fillId="12" fontId="32" numFmtId="0" xfId="0" applyAlignment="1" applyBorder="1" applyFont="1">
      <alignment horizontal="center" vertical="center"/>
    </xf>
    <xf borderId="0" fillId="12" fontId="32" numFmtId="0" xfId="0" applyAlignment="1" applyFont="1">
      <alignment horizontal="center" vertical="center"/>
    </xf>
    <xf borderId="32" fillId="29" fontId="33" numFmtId="0" xfId="0" applyAlignment="1" applyBorder="1" applyFill="1" applyFont="1">
      <alignment horizontal="center" readingOrder="0" vertical="center"/>
    </xf>
    <xf borderId="15" fillId="29" fontId="31" numFmtId="9" xfId="0" applyAlignment="1" applyBorder="1" applyFont="1" applyNumberFormat="1">
      <alignment horizontal="center" vertical="center"/>
    </xf>
    <xf borderId="32" fillId="29" fontId="31" numFmtId="168" xfId="0" applyAlignment="1" applyBorder="1" applyFont="1" applyNumberFormat="1">
      <alignment horizontal="center" vertical="center"/>
    </xf>
    <xf borderId="33" fillId="29" fontId="31" numFmtId="168" xfId="0" applyAlignment="1" applyBorder="1" applyFont="1" applyNumberFormat="1">
      <alignment horizontal="center" vertical="center"/>
    </xf>
    <xf borderId="15" fillId="29" fontId="31" numFmtId="168" xfId="0" applyAlignment="1" applyBorder="1" applyFont="1" applyNumberFormat="1">
      <alignment horizontal="center" vertical="center"/>
    </xf>
    <xf borderId="34" fillId="0" fontId="34" numFmtId="0" xfId="0" applyBorder="1" applyFont="1"/>
    <xf borderId="35" fillId="0" fontId="34" numFmtId="0" xfId="0" applyBorder="1" applyFont="1"/>
    <xf borderId="0" fillId="29" fontId="35" numFmtId="165" xfId="0" applyAlignment="1" applyFont="1" applyNumberFormat="1">
      <alignment horizontal="center"/>
    </xf>
    <xf borderId="0" fillId="30" fontId="35" numFmtId="165" xfId="0" applyAlignment="1" applyFill="1" applyFont="1" applyNumberFormat="1">
      <alignment horizontal="center"/>
    </xf>
    <xf borderId="0" fillId="0" fontId="1" numFmtId="165" xfId="0" applyAlignment="1" applyFont="1" applyNumberFormat="1">
      <alignment readingOrder="0"/>
    </xf>
    <xf borderId="0" fillId="0" fontId="14" numFmtId="10" xfId="0" applyFont="1" applyNumberFormat="1"/>
    <xf borderId="0" fillId="0" fontId="21" numFmtId="0" xfId="0" applyAlignment="1" applyFont="1">
      <alignment readingOrder="0"/>
    </xf>
    <xf borderId="0" fillId="24" fontId="24" numFmtId="0" xfId="0" applyAlignment="1" applyFont="1">
      <alignment horizontal="center" readingOrder="0"/>
    </xf>
    <xf borderId="0" fillId="24" fontId="24" numFmtId="168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0" fontId="24" numFmtId="0" xfId="0" applyAlignment="1" applyFont="1">
      <alignment horizontal="center" readingOrder="0"/>
    </xf>
    <xf borderId="0" fillId="0" fontId="24" numFmtId="165" xfId="0" applyAlignment="1" applyFont="1" applyNumberFormat="1">
      <alignment horizontal="center" readingOrder="0"/>
    </xf>
    <xf borderId="0" fillId="0" fontId="17" numFmtId="165" xfId="0" applyAlignment="1" applyFont="1" applyNumberFormat="1">
      <alignment horizontal="center" vertical="center"/>
    </xf>
    <xf borderId="0" fillId="0" fontId="21" numFmtId="4" xfId="0" applyAlignment="1" applyFont="1" applyNumberFormat="1">
      <alignment horizontal="center" readingOrder="0" vertical="center"/>
    </xf>
    <xf borderId="0" fillId="0" fontId="21" numFmtId="168" xfId="0" applyAlignment="1" applyFont="1" applyNumberFormat="1">
      <alignment readingOrder="0"/>
    </xf>
    <xf borderId="6" fillId="0" fontId="36" numFmtId="0" xfId="0" applyAlignment="1" applyBorder="1" applyFont="1">
      <alignment readingOrder="0"/>
    </xf>
    <xf borderId="15" fillId="16" fontId="21" numFmtId="168" xfId="0" applyAlignment="1" applyBorder="1" applyFont="1" applyNumberFormat="1">
      <alignment readingOrder="0"/>
    </xf>
    <xf borderId="14" fillId="0" fontId="21" numFmtId="0" xfId="0" applyAlignment="1" applyBorder="1" applyFont="1">
      <alignment readingOrder="0"/>
    </xf>
    <xf borderId="14" fillId="5" fontId="28" numFmtId="0" xfId="0" applyAlignment="1" applyBorder="1" applyFont="1">
      <alignment readingOrder="0"/>
    </xf>
    <xf borderId="0" fillId="5" fontId="28" numFmtId="168" xfId="0" applyAlignment="1" applyFont="1" applyNumberFormat="1">
      <alignment horizontal="center" readingOrder="0" vertical="center"/>
    </xf>
    <xf borderId="13" fillId="5" fontId="28" numFmtId="168" xfId="0" applyAlignment="1" applyBorder="1" applyFont="1" applyNumberFormat="1">
      <alignment horizontal="center" readingOrder="0" vertical="center"/>
    </xf>
    <xf borderId="0" fillId="0" fontId="21" numFmtId="165" xfId="0" applyAlignment="1" applyFont="1" applyNumberFormat="1">
      <alignment horizontal="center" readingOrder="0" vertical="center"/>
    </xf>
    <xf borderId="15" fillId="25" fontId="18" numFmtId="3" xfId="0" applyAlignment="1" applyBorder="1" applyFont="1" applyNumberFormat="1">
      <alignment horizontal="center" vertical="center"/>
    </xf>
    <xf borderId="0" fillId="18" fontId="20" numFmtId="10" xfId="0" applyAlignment="1" applyFont="1" applyNumberFormat="1">
      <alignment horizontal="center" readingOrder="0" vertical="center"/>
    </xf>
    <xf borderId="0" fillId="0" fontId="21" numFmtId="1" xfId="0" applyAlignment="1" applyFont="1" applyNumberFormat="1">
      <alignment horizontal="center" readingOrder="0" vertical="center"/>
    </xf>
    <xf borderId="0" fillId="31" fontId="21" numFmtId="1" xfId="0" applyAlignment="1" applyFill="1" applyFont="1" applyNumberFormat="1">
      <alignment horizontal="center" readingOrder="0" vertical="center"/>
    </xf>
    <xf borderId="0" fillId="32" fontId="21" numFmtId="1" xfId="0" applyAlignment="1" applyFill="1" applyFont="1" applyNumberFormat="1">
      <alignment horizontal="center" readingOrder="0" vertical="center"/>
    </xf>
    <xf borderId="25" fillId="11" fontId="18" numFmtId="9" xfId="0" applyAlignment="1" applyBorder="1" applyFont="1" applyNumberFormat="1">
      <alignment horizontal="center" vertical="center"/>
    </xf>
    <xf borderId="24" fillId="18" fontId="18" numFmtId="168" xfId="0" applyAlignment="1" applyBorder="1" applyFont="1" applyNumberFormat="1">
      <alignment horizontal="center" vertical="center"/>
    </xf>
    <xf borderId="25" fillId="18" fontId="18" numFmtId="168" xfId="0" applyAlignment="1" applyBorder="1" applyFont="1" applyNumberFormat="1">
      <alignment horizontal="center" vertical="center"/>
    </xf>
    <xf borderId="24" fillId="16" fontId="18" numFmtId="0" xfId="0" applyAlignment="1" applyBorder="1" applyFont="1">
      <alignment horizontal="center" vertical="center"/>
    </xf>
    <xf borderId="15" fillId="16" fontId="18" numFmtId="9" xfId="0" applyAlignment="1" applyBorder="1" applyFont="1" applyNumberFormat="1">
      <alignment horizontal="center" vertical="center"/>
    </xf>
    <xf borderId="25" fillId="16" fontId="18" numFmtId="9" xfId="0" applyAlignment="1" applyBorder="1" applyFont="1" applyNumberFormat="1">
      <alignment horizontal="center" vertical="center"/>
    </xf>
    <xf borderId="0" fillId="0" fontId="18" numFmtId="174" xfId="0" applyFont="1" applyNumberFormat="1"/>
    <xf borderId="0" fillId="11" fontId="18" numFmtId="169" xfId="0" applyFont="1" applyNumberFormat="1"/>
    <xf borderId="25" fillId="12" fontId="18" numFmtId="9" xfId="0" applyBorder="1" applyFont="1" applyNumberFormat="1"/>
    <xf borderId="14" fillId="0" fontId="14" numFmtId="0" xfId="0" applyBorder="1" applyFont="1"/>
    <xf borderId="36" fillId="26" fontId="29" numFmtId="168" xfId="0" applyAlignment="1" applyBorder="1" applyFont="1" applyNumberFormat="1">
      <alignment horizontal="center" vertical="center"/>
    </xf>
    <xf borderId="36" fillId="12" fontId="31" numFmtId="168" xfId="0" applyAlignment="1" applyBorder="1" applyFont="1" applyNumberFormat="1">
      <alignment horizontal="center" vertical="center"/>
    </xf>
    <xf borderId="0" fillId="0" fontId="18" numFmtId="174" xfId="0" applyAlignment="1" applyFont="1" applyNumberFormat="1">
      <alignment horizontal="center"/>
    </xf>
    <xf borderId="14" fillId="0" fontId="1" numFmtId="10" xfId="0" applyAlignment="1" applyBorder="1" applyFont="1" applyNumberFormat="1">
      <alignment readingOrder="0"/>
    </xf>
    <xf borderId="14" fillId="0" fontId="1" numFmtId="165" xfId="0" applyAlignment="1" applyBorder="1" applyFont="1" applyNumberFormat="1">
      <alignment readingOrder="0"/>
    </xf>
    <xf borderId="0" fillId="33" fontId="37" numFmtId="0" xfId="0" applyAlignment="1" applyFill="1" applyFont="1">
      <alignment readingOrder="0"/>
    </xf>
    <xf borderId="0" fillId="33" fontId="38" numFmtId="0" xfId="0" applyAlignment="1" applyFont="1">
      <alignment readingOrder="0"/>
    </xf>
    <xf borderId="0" fillId="33" fontId="39" numFmtId="0" xfId="0" applyFont="1"/>
    <xf borderId="0" fillId="0" fontId="18" numFmtId="0" xfId="0" applyAlignment="1" applyFont="1">
      <alignment shrinkToFit="0" wrapText="1"/>
    </xf>
    <xf borderId="15" fillId="11" fontId="18" numFmtId="0" xfId="0" applyBorder="1" applyFont="1"/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left" vertical="center"/>
    </xf>
    <xf borderId="0" fillId="0" fontId="18" numFmtId="0" xfId="0" applyAlignment="1" applyFont="1">
      <alignment horizontal="left"/>
    </xf>
    <xf borderId="15" fillId="16" fontId="17" numFmtId="168" xfId="0" applyBorder="1" applyFont="1" applyNumberFormat="1"/>
    <xf borderId="0" fillId="0" fontId="14" numFmtId="0" xfId="0" applyAlignment="1" applyFont="1">
      <alignment shrinkToFit="0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781050</xdr:colOff>
      <xdr:row>16</xdr:row>
      <xdr:rowOff>190500</xdr:rowOff>
    </xdr:from>
    <xdr:ext cx="9048750" cy="404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6</xdr:row>
      <xdr:rowOff>85725</xdr:rowOff>
    </xdr:from>
    <xdr:ext cx="8562975" cy="3390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3" max="3" width="45.89"/>
    <col customWidth="1" min="4" max="4" width="22.11"/>
    <col customWidth="1" min="5" max="6" width="12.78"/>
    <col customWidth="1" min="7" max="7" width="24.56"/>
    <col customWidth="1" min="8" max="8" width="13.67"/>
    <col customWidth="1" min="9" max="9" width="13.22"/>
    <col customWidth="1" min="10" max="10" width="13.67"/>
    <col customWidth="1" min="11" max="11" width="13.22"/>
    <col customWidth="1" min="12" max="12" width="13.67"/>
    <col customWidth="1" min="13" max="13" width="13.44"/>
    <col customWidth="1" min="14" max="14" width="14.22"/>
    <col customWidth="1" min="15" max="15" width="13.67"/>
    <col customWidth="1" min="17" max="17" width="14.78"/>
    <col customWidth="1" min="18" max="18" width="7.56"/>
    <col customWidth="1" min="19" max="19" width="3.44"/>
    <col customWidth="1" min="20" max="20" width="25.67"/>
    <col customWidth="1" min="21" max="21" width="14.78"/>
    <col customWidth="1" min="22" max="22" width="3.89"/>
    <col customWidth="1" min="23" max="23" width="27.0"/>
    <col customWidth="1" min="24" max="24" width="14.11"/>
    <col customWidth="1" min="25" max="25" width="15.67"/>
    <col customWidth="1" min="26" max="26" width="14.22"/>
    <col customWidth="1" min="27" max="27" width="14.0"/>
    <col customWidth="1" min="28" max="28" width="14.78"/>
  </cols>
  <sheetData>
    <row r="3">
      <c r="A3" s="1"/>
      <c r="B3" s="1"/>
      <c r="C3" s="2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1"/>
      <c r="Q3" s="1"/>
    </row>
    <row r="4">
      <c r="A4" s="1"/>
      <c r="B4" s="1"/>
      <c r="C4" s="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"/>
      <c r="Q4" s="1"/>
    </row>
    <row r="5" ht="32.25" customHeight="1">
      <c r="A5" s="1"/>
      <c r="B5" s="1"/>
      <c r="C5" s="5" t="s">
        <v>13</v>
      </c>
      <c r="D5" s="6">
        <f t="shared" ref="D5:O5" si="1">SUM(D8,D14,D18,D22)</f>
        <v>143250.8967</v>
      </c>
      <c r="E5" s="6">
        <f t="shared" si="1"/>
        <v>143599.2067</v>
      </c>
      <c r="F5" s="6">
        <f t="shared" si="1"/>
        <v>157197.5233</v>
      </c>
      <c r="G5" s="6">
        <f t="shared" si="1"/>
        <v>170282.8167</v>
      </c>
      <c r="H5" s="6">
        <f t="shared" si="1"/>
        <v>183685.6</v>
      </c>
      <c r="I5" s="6">
        <f t="shared" si="1"/>
        <v>223105.8667</v>
      </c>
      <c r="J5" s="6">
        <f t="shared" si="1"/>
        <v>258553.3333</v>
      </c>
      <c r="K5" s="6">
        <f t="shared" si="1"/>
        <v>286372</v>
      </c>
      <c r="L5" s="6">
        <f t="shared" si="1"/>
        <v>314881.8667</v>
      </c>
      <c r="M5" s="6">
        <f t="shared" si="1"/>
        <v>337196</v>
      </c>
      <c r="N5" s="6">
        <f t="shared" si="1"/>
        <v>346246.6667</v>
      </c>
      <c r="O5" s="6">
        <f t="shared" si="1"/>
        <v>345814.6667</v>
      </c>
      <c r="P5" s="1"/>
      <c r="Q5" s="1"/>
    </row>
    <row r="6">
      <c r="A6" s="1"/>
      <c r="B6" s="1"/>
      <c r="C6" s="7" t="s">
        <v>14</v>
      </c>
      <c r="D6" s="8">
        <f>'Projeção Biel Ajustada'!E11</f>
        <v>8</v>
      </c>
      <c r="E6" s="8">
        <f>'Projeção Biel Ajustada'!F11</f>
        <v>9.6</v>
      </c>
      <c r="F6" s="8">
        <f>'Projeção Biel Ajustada'!G11</f>
        <v>12.8</v>
      </c>
      <c r="G6" s="8">
        <f>'Projeção Biel Ajustada'!H11</f>
        <v>14.08</v>
      </c>
      <c r="H6" s="8">
        <f>'Projeção Biel Ajustada'!I11</f>
        <v>15.36</v>
      </c>
      <c r="I6" s="8">
        <f>'Projeção Biel Ajustada'!J11</f>
        <v>16.64</v>
      </c>
      <c r="J6" s="8">
        <f>'Projeção Biel Ajustada'!K11</f>
        <v>17.92</v>
      </c>
      <c r="K6" s="8">
        <f>'Projeção Biel Ajustada'!L11</f>
        <v>19.2</v>
      </c>
      <c r="L6" s="8">
        <f>'Projeção Biel Ajustada'!M11</f>
        <v>20.48</v>
      </c>
      <c r="M6" s="8">
        <f>'Projeção Biel Ajustada'!N11</f>
        <v>21.12</v>
      </c>
      <c r="N6" s="8">
        <f>'Projeção Biel Ajustada'!O11</f>
        <v>19.2</v>
      </c>
      <c r="O6" s="8">
        <f>'Projeção Biel Ajustada'!P11</f>
        <v>19.2</v>
      </c>
      <c r="P6" s="1"/>
      <c r="Q6" s="1"/>
      <c r="T6" s="9" t="s">
        <v>15</v>
      </c>
      <c r="W6" s="10" t="s">
        <v>16</v>
      </c>
      <c r="X6" s="11"/>
      <c r="Y6" s="12" t="s">
        <v>17</v>
      </c>
    </row>
    <row r="7">
      <c r="A7" s="1"/>
      <c r="B7" s="1"/>
      <c r="C7" s="7" t="s">
        <v>18</v>
      </c>
      <c r="D7" s="13">
        <f>'Projeção Biel Ajustada'!E84</f>
        <v>1.04</v>
      </c>
      <c r="E7" s="13">
        <f>'Projeção Biel Ajustada'!F84</f>
        <v>1.248</v>
      </c>
      <c r="F7" s="13">
        <f>'Projeção Biel Ajustada'!G84</f>
        <v>1.664</v>
      </c>
      <c r="G7" s="13">
        <f>'Projeção Biel Ajustada'!H84</f>
        <v>1.8304</v>
      </c>
      <c r="H7" s="13">
        <f>'Projeção Biel Ajustada'!I84</f>
        <v>1.9968</v>
      </c>
      <c r="I7" s="13">
        <f>'Projeção Biel Ajustada'!J84</f>
        <v>2.1632</v>
      </c>
      <c r="J7" s="13">
        <f>'Projeção Biel Ajustada'!K84</f>
        <v>2.3296</v>
      </c>
      <c r="K7" s="13">
        <f>'Projeção Biel Ajustada'!L84</f>
        <v>2.496</v>
      </c>
      <c r="L7" s="13">
        <f>'Projeção Biel Ajustada'!M84</f>
        <v>2.6624</v>
      </c>
      <c r="M7" s="13">
        <f>'Projeção Biel Ajustada'!N84</f>
        <v>2.7456</v>
      </c>
      <c r="N7" s="13">
        <f>'Projeção Biel Ajustada'!O84</f>
        <v>2.496</v>
      </c>
      <c r="O7" s="13">
        <f>'Projeção Biel Ajustada'!P84</f>
        <v>2.496</v>
      </c>
      <c r="P7" s="1"/>
      <c r="Q7" s="1"/>
      <c r="T7" s="14" t="s">
        <v>19</v>
      </c>
      <c r="U7" s="15">
        <f>SUM(D5:O5)</f>
        <v>2910186.443</v>
      </c>
      <c r="W7" s="16" t="s">
        <v>20</v>
      </c>
      <c r="X7" s="17">
        <f>SUM(D60:O60)</f>
        <v>122037.7156</v>
      </c>
      <c r="Y7" s="18">
        <f t="shared" ref="Y7:Y10" si="3">X7/SUM($D$6:$O$7)</f>
        <v>557.8407974</v>
      </c>
    </row>
    <row r="8">
      <c r="A8" s="1"/>
      <c r="B8" s="1"/>
      <c r="C8" s="19" t="s">
        <v>21</v>
      </c>
      <c r="D8" s="20">
        <f t="shared" ref="D8:O8" si="2">SUM(D9:D12)</f>
        <v>122640.83</v>
      </c>
      <c r="E8" s="20">
        <f t="shared" si="2"/>
        <v>95669.14</v>
      </c>
      <c r="F8" s="20">
        <f t="shared" si="2"/>
        <v>72840.79</v>
      </c>
      <c r="G8" s="20">
        <f t="shared" si="2"/>
        <v>42055.15</v>
      </c>
      <c r="H8" s="20">
        <f t="shared" si="2"/>
        <v>28208.8</v>
      </c>
      <c r="I8" s="20">
        <f t="shared" si="2"/>
        <v>28208.8</v>
      </c>
      <c r="J8" s="20">
        <f t="shared" si="2"/>
        <v>28208.8</v>
      </c>
      <c r="K8" s="20">
        <f t="shared" si="2"/>
        <v>28208.8</v>
      </c>
      <c r="L8" s="20">
        <f t="shared" si="2"/>
        <v>28208.8</v>
      </c>
      <c r="M8" s="20">
        <f t="shared" si="2"/>
        <v>28208.8</v>
      </c>
      <c r="N8" s="20">
        <f t="shared" si="2"/>
        <v>28208.8</v>
      </c>
      <c r="O8" s="20">
        <f t="shared" si="2"/>
        <v>28208.8</v>
      </c>
      <c r="P8" s="1"/>
      <c r="Q8" s="1"/>
      <c r="T8" s="9" t="s">
        <v>22</v>
      </c>
      <c r="U8" s="21">
        <f>SUM(D27:O27)</f>
        <v>469432.132</v>
      </c>
      <c r="W8" s="16" t="s">
        <v>23</v>
      </c>
      <c r="X8" s="17">
        <f>SUM(D59:O59)</f>
        <v>65106.088</v>
      </c>
      <c r="Y8" s="18">
        <f t="shared" si="3"/>
        <v>297.6033424</v>
      </c>
    </row>
    <row r="9">
      <c r="A9" s="1"/>
      <c r="B9" s="1"/>
      <c r="C9" s="22" t="s">
        <v>24</v>
      </c>
      <c r="D9" s="23">
        <f>5300+1097.8+1230+80+1000</f>
        <v>8707.8</v>
      </c>
      <c r="E9" s="23">
        <f t="shared" ref="E9:O9" si="4">5300+1097.8+1230+80</f>
        <v>7707.8</v>
      </c>
      <c r="F9" s="23">
        <f t="shared" si="4"/>
        <v>7707.8</v>
      </c>
      <c r="G9" s="23">
        <f t="shared" si="4"/>
        <v>7707.8</v>
      </c>
      <c r="H9" s="23">
        <f t="shared" si="4"/>
        <v>7707.8</v>
      </c>
      <c r="I9" s="23">
        <f t="shared" si="4"/>
        <v>7707.8</v>
      </c>
      <c r="J9" s="23">
        <f t="shared" si="4"/>
        <v>7707.8</v>
      </c>
      <c r="K9" s="23">
        <f t="shared" si="4"/>
        <v>7707.8</v>
      </c>
      <c r="L9" s="23">
        <f t="shared" si="4"/>
        <v>7707.8</v>
      </c>
      <c r="M9" s="23">
        <f t="shared" si="4"/>
        <v>7707.8</v>
      </c>
      <c r="N9" s="23">
        <f t="shared" si="4"/>
        <v>7707.8</v>
      </c>
      <c r="O9" s="23">
        <f t="shared" si="4"/>
        <v>7707.8</v>
      </c>
      <c r="P9" s="1"/>
      <c r="Q9" s="1"/>
      <c r="T9" s="14" t="s">
        <v>25</v>
      </c>
      <c r="U9" s="15">
        <f>U7-U8</f>
        <v>2440754.311</v>
      </c>
      <c r="W9" s="16" t="s">
        <v>26</v>
      </c>
      <c r="X9" s="17">
        <f>SUM(D58:O58)</f>
        <v>32553.044</v>
      </c>
      <c r="Y9" s="18">
        <f t="shared" si="3"/>
        <v>148.8016712</v>
      </c>
    </row>
    <row r="10">
      <c r="A10" s="1"/>
      <c r="B10" s="1"/>
      <c r="C10" s="22" t="s">
        <v>27</v>
      </c>
      <c r="D10" s="24">
        <v>20501.0</v>
      </c>
      <c r="E10" s="24">
        <v>20501.0</v>
      </c>
      <c r="F10" s="24">
        <v>20501.0</v>
      </c>
      <c r="G10" s="24">
        <v>20501.0</v>
      </c>
      <c r="H10" s="24">
        <v>20501.0</v>
      </c>
      <c r="I10" s="24">
        <v>20501.0</v>
      </c>
      <c r="J10" s="24">
        <v>20501.0</v>
      </c>
      <c r="K10" s="24">
        <v>20501.0</v>
      </c>
      <c r="L10" s="24">
        <v>20501.0</v>
      </c>
      <c r="M10" s="24">
        <v>20501.0</v>
      </c>
      <c r="N10" s="24">
        <v>20501.0</v>
      </c>
      <c r="O10" s="24">
        <v>20501.0</v>
      </c>
      <c r="P10" s="1"/>
      <c r="Q10" s="1"/>
      <c r="T10" s="25" t="s">
        <v>28</v>
      </c>
      <c r="U10" s="26">
        <f>U9/U7</f>
        <v>0.838693451</v>
      </c>
      <c r="W10" s="27" t="s">
        <v>29</v>
      </c>
      <c r="X10" s="28">
        <f>SUM(D57:O57)</f>
        <v>10851.01467</v>
      </c>
      <c r="Y10" s="29">
        <f t="shared" si="3"/>
        <v>49.60055706</v>
      </c>
    </row>
    <row r="11">
      <c r="A11" s="1"/>
      <c r="B11" s="1"/>
      <c r="C11" s="22" t="s">
        <v>30</v>
      </c>
      <c r="D11" s="24">
        <f>59538.38+2250</f>
        <v>61788.38</v>
      </c>
      <c r="E11" s="23">
        <f>43916.69</f>
        <v>43916.69</v>
      </c>
      <c r="F11" s="24">
        <v>30263.33</v>
      </c>
      <c r="G11" s="24">
        <v>11173.35</v>
      </c>
      <c r="H11" s="23"/>
      <c r="I11" s="23"/>
      <c r="J11" s="23"/>
      <c r="K11" s="23"/>
      <c r="L11" s="23"/>
      <c r="M11" s="23"/>
      <c r="N11" s="23"/>
      <c r="O11" s="23"/>
      <c r="P11" s="1"/>
      <c r="Q11" s="1"/>
      <c r="T11" s="14" t="s">
        <v>31</v>
      </c>
      <c r="U11" s="15">
        <f>SUM(D45:O45)</f>
        <v>1364604.927</v>
      </c>
    </row>
    <row r="12">
      <c r="A12" s="1"/>
      <c r="B12" s="1"/>
      <c r="C12" s="22" t="s">
        <v>32</v>
      </c>
      <c r="D12" s="24">
        <f>24893.65+6750</f>
        <v>31643.65</v>
      </c>
      <c r="E12" s="24">
        <v>23543.65</v>
      </c>
      <c r="F12" s="24">
        <v>14368.66</v>
      </c>
      <c r="G12" s="24">
        <v>2673.0</v>
      </c>
      <c r="H12" s="23"/>
      <c r="I12" s="23"/>
      <c r="J12" s="23"/>
      <c r="K12" s="23"/>
      <c r="L12" s="23"/>
      <c r="M12" s="23"/>
      <c r="N12" s="23"/>
      <c r="O12" s="23"/>
      <c r="P12" s="1"/>
      <c r="Q12" s="1"/>
      <c r="T12" s="25" t="s">
        <v>33</v>
      </c>
      <c r="U12" s="21">
        <f>U9-U11</f>
        <v>1076149.385</v>
      </c>
    </row>
    <row r="13">
      <c r="A13" s="1"/>
      <c r="B13" s="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"/>
      <c r="Q13" s="1"/>
      <c r="T13" s="30" t="s">
        <v>34</v>
      </c>
      <c r="U13" s="31">
        <f>U12/U7</f>
        <v>0.3697870929</v>
      </c>
      <c r="W13" s="32" t="s">
        <v>35</v>
      </c>
      <c r="X13" s="33" t="s">
        <v>36</v>
      </c>
      <c r="Y13" s="33" t="s">
        <v>37</v>
      </c>
      <c r="Z13" s="33" t="s">
        <v>38</v>
      </c>
      <c r="AA13" s="33" t="s">
        <v>39</v>
      </c>
      <c r="AB13" s="34" t="s">
        <v>40</v>
      </c>
    </row>
    <row r="14">
      <c r="A14" s="1"/>
      <c r="B14" s="1"/>
      <c r="C14" s="19" t="s">
        <v>41</v>
      </c>
      <c r="D14" s="20">
        <f t="shared" ref="D14:O14" si="5">D15</f>
        <v>15843.4</v>
      </c>
      <c r="E14" s="20">
        <f t="shared" si="5"/>
        <v>37443.4</v>
      </c>
      <c r="F14" s="20">
        <f t="shared" si="5"/>
        <v>66243.4</v>
      </c>
      <c r="G14" s="20">
        <f t="shared" si="5"/>
        <v>101443.4</v>
      </c>
      <c r="H14" s="20">
        <f t="shared" si="5"/>
        <v>124000</v>
      </c>
      <c r="I14" s="20">
        <f t="shared" si="5"/>
        <v>148160</v>
      </c>
      <c r="J14" s="20">
        <f t="shared" si="5"/>
        <v>168640</v>
      </c>
      <c r="K14" s="20">
        <f t="shared" si="5"/>
        <v>191040</v>
      </c>
      <c r="L14" s="20">
        <f t="shared" si="5"/>
        <v>214080</v>
      </c>
      <c r="M14" s="20">
        <f t="shared" si="5"/>
        <v>231680</v>
      </c>
      <c r="N14" s="20">
        <f t="shared" si="5"/>
        <v>240000</v>
      </c>
      <c r="O14" s="20">
        <f t="shared" si="5"/>
        <v>240000</v>
      </c>
      <c r="P14" s="1"/>
      <c r="Q14" s="1"/>
      <c r="T14" s="35" t="s">
        <v>42</v>
      </c>
      <c r="U14" s="21">
        <f>SUM(D40:O43)</f>
        <v>98420.22248</v>
      </c>
      <c r="W14" s="36" t="s">
        <v>43</v>
      </c>
      <c r="X14" s="37">
        <f>SUM('Projeção Biel Ajustada'!E13:G13)</f>
        <v>264973.6</v>
      </c>
      <c r="Y14" s="37">
        <f>SUM('Projeção Biel Ajustada'!H13:J13)</f>
        <v>477440</v>
      </c>
      <c r="Z14" s="37">
        <f>SUM('Projeção Biel Ajustada'!K13:M13)</f>
        <v>673280</v>
      </c>
      <c r="AA14" s="37">
        <f>SUM('Projeção Biel Ajustada'!N13:P13)</f>
        <v>714240</v>
      </c>
      <c r="AB14" s="38">
        <f t="shared" ref="AB14:AB18" si="6">SUM(X14:AA14)</f>
        <v>2129933.6</v>
      </c>
    </row>
    <row r="15">
      <c r="A15" s="1"/>
      <c r="B15" s="1"/>
      <c r="C15" s="22" t="s">
        <v>44</v>
      </c>
      <c r="D15" s="23">
        <f>'Projeção Biel Ajustada'!E18</f>
        <v>15843.4</v>
      </c>
      <c r="E15" s="23">
        <f>'Projeção Biel Ajustada'!F18</f>
        <v>37443.4</v>
      </c>
      <c r="F15" s="23">
        <f>'Projeção Biel Ajustada'!G18</f>
        <v>66243.4</v>
      </c>
      <c r="G15" s="23">
        <f>'Projeção Biel Ajustada'!H18</f>
        <v>101443.4</v>
      </c>
      <c r="H15" s="23">
        <f>'Projeção Biel Ajustada'!I18</f>
        <v>124000</v>
      </c>
      <c r="I15" s="23">
        <f>'Projeção Biel Ajustada'!J18</f>
        <v>148160</v>
      </c>
      <c r="J15" s="23">
        <f>'Projeção Biel Ajustada'!K18</f>
        <v>168640</v>
      </c>
      <c r="K15" s="23">
        <f>'Projeção Biel Ajustada'!L18</f>
        <v>191040</v>
      </c>
      <c r="L15" s="23">
        <f>'Projeção Biel Ajustada'!M18</f>
        <v>214080</v>
      </c>
      <c r="M15" s="23">
        <f>'Projeção Biel Ajustada'!N18</f>
        <v>231680</v>
      </c>
      <c r="N15" s="23">
        <f>'Projeção Biel Ajustada'!O18</f>
        <v>240000</v>
      </c>
      <c r="O15" s="23">
        <f>'Projeção Biel Ajustada'!P18</f>
        <v>240000</v>
      </c>
      <c r="P15" s="1"/>
      <c r="Q15" s="1"/>
      <c r="T15" s="30" t="s">
        <v>45</v>
      </c>
      <c r="U15" s="15">
        <f>SUM(D39:O39)</f>
        <v>397296.5306</v>
      </c>
      <c r="W15" s="36" t="s">
        <v>46</v>
      </c>
      <c r="X15" s="39">
        <f>SUM('Projeção Biel Ajustada'!E85:G85)</f>
        <v>72453.33333</v>
      </c>
      <c r="Y15" s="39">
        <f>SUM('Projeção Biel Ajustada'!H85:J85)</f>
        <v>109824</v>
      </c>
      <c r="Z15" s="39">
        <f>SUM('Projeção Biel Ajustada'!K85:M85)</f>
        <v>137280</v>
      </c>
      <c r="AA15" s="39">
        <f>SUM('Projeção Biel Ajustada'!N85:P85)</f>
        <v>141856</v>
      </c>
      <c r="AB15" s="38">
        <f t="shared" si="6"/>
        <v>461413.3333</v>
      </c>
    </row>
    <row r="16">
      <c r="A16" s="1"/>
      <c r="B16" s="1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1"/>
      <c r="Q16" s="1"/>
      <c r="T16" s="35" t="s">
        <v>47</v>
      </c>
      <c r="U16" s="21">
        <f>U12-SUM(U14:U15)</f>
        <v>580432.6316</v>
      </c>
      <c r="W16" s="36" t="s">
        <v>48</v>
      </c>
      <c r="X16" s="40"/>
      <c r="Y16" s="23">
        <f>SUM(G23:I23)</f>
        <v>1792</v>
      </c>
      <c r="Z16" s="23">
        <f t="shared" ref="Z16:Z17" si="7">SUM(J23:L23)</f>
        <v>5017.6</v>
      </c>
      <c r="AA16" s="23">
        <f t="shared" ref="AA16:AA17" si="8">SUM(M23:O23)</f>
        <v>8640</v>
      </c>
      <c r="AB16" s="38">
        <f t="shared" si="6"/>
        <v>15449.6</v>
      </c>
    </row>
    <row r="17">
      <c r="A17" s="1"/>
      <c r="B17" s="1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1"/>
      <c r="Q17" s="1"/>
      <c r="T17" s="30" t="s">
        <v>49</v>
      </c>
      <c r="U17" s="31">
        <f>U16/U7</f>
        <v>0.1994486068</v>
      </c>
      <c r="W17" s="36" t="s">
        <v>50</v>
      </c>
      <c r="X17" s="40"/>
      <c r="Y17" s="39">
        <f>SUM(I24)</f>
        <v>332.8</v>
      </c>
      <c r="Z17" s="39">
        <f t="shared" si="7"/>
        <v>3251.2</v>
      </c>
      <c r="AA17" s="39">
        <f t="shared" si="8"/>
        <v>6873.6</v>
      </c>
      <c r="AB17" s="38">
        <f t="shared" si="6"/>
        <v>10457.6</v>
      </c>
    </row>
    <row r="18">
      <c r="A18" s="1"/>
      <c r="B18" s="1"/>
      <c r="C18" s="19" t="s">
        <v>46</v>
      </c>
      <c r="D18" s="20">
        <f t="shared" ref="D18:O18" si="9">D19</f>
        <v>4766.666667</v>
      </c>
      <c r="E18" s="20">
        <f t="shared" si="9"/>
        <v>10486.66667</v>
      </c>
      <c r="F18" s="20">
        <f t="shared" si="9"/>
        <v>18113.33333</v>
      </c>
      <c r="G18" s="20">
        <f t="shared" si="9"/>
        <v>26502.66667</v>
      </c>
      <c r="H18" s="20">
        <f t="shared" si="9"/>
        <v>30888</v>
      </c>
      <c r="I18" s="20">
        <f t="shared" si="9"/>
        <v>35082.66667</v>
      </c>
      <c r="J18" s="20">
        <f t="shared" si="9"/>
        <v>38133.33333</v>
      </c>
      <c r="K18" s="20">
        <f t="shared" si="9"/>
        <v>41184</v>
      </c>
      <c r="L18" s="20">
        <f t="shared" si="9"/>
        <v>44234.66667</v>
      </c>
      <c r="M18" s="20">
        <f t="shared" si="9"/>
        <v>46904</v>
      </c>
      <c r="N18" s="20">
        <f t="shared" si="9"/>
        <v>47666.66667</v>
      </c>
      <c r="O18" s="20">
        <f t="shared" si="9"/>
        <v>47666.66667</v>
      </c>
      <c r="P18" s="1"/>
      <c r="Q18" s="1"/>
      <c r="W18" s="36" t="s">
        <v>51</v>
      </c>
      <c r="X18" s="40"/>
      <c r="Y18" s="39">
        <f>'Projeção Biel Ajustada'!J70</f>
        <v>20800</v>
      </c>
      <c r="Z18" s="39">
        <f>SUM('Projeção Biel Ajustada'!K70:M70)</f>
        <v>72000</v>
      </c>
      <c r="AA18" s="39">
        <f>SUM('Projeção Biel Ajustada'!N70:P70)</f>
        <v>74400</v>
      </c>
      <c r="AB18" s="38">
        <f t="shared" si="6"/>
        <v>167200</v>
      </c>
    </row>
    <row r="19">
      <c r="A19" s="1"/>
      <c r="B19" s="1"/>
      <c r="C19" s="7" t="s">
        <v>52</v>
      </c>
      <c r="D19" s="23">
        <f>'Projeção Biel Ajustada'!E90</f>
        <v>4766.666667</v>
      </c>
      <c r="E19" s="23">
        <f>'Projeção Biel Ajustada'!F90</f>
        <v>10486.66667</v>
      </c>
      <c r="F19" s="23">
        <f>'Projeção Biel Ajustada'!G90</f>
        <v>18113.33333</v>
      </c>
      <c r="G19" s="23">
        <f>'Projeção Biel Ajustada'!H90</f>
        <v>26502.66667</v>
      </c>
      <c r="H19" s="23">
        <f>'Projeção Biel Ajustada'!I90</f>
        <v>30888</v>
      </c>
      <c r="I19" s="23">
        <f>'Projeção Biel Ajustada'!J90</f>
        <v>35082.66667</v>
      </c>
      <c r="J19" s="23">
        <f>'Projeção Biel Ajustada'!K90</f>
        <v>38133.33333</v>
      </c>
      <c r="K19" s="23">
        <f>'Projeção Biel Ajustada'!L90</f>
        <v>41184</v>
      </c>
      <c r="L19" s="23">
        <f>'Projeção Biel Ajustada'!M90</f>
        <v>44234.66667</v>
      </c>
      <c r="M19" s="23">
        <f>'Projeção Biel Ajustada'!N90</f>
        <v>46904</v>
      </c>
      <c r="N19" s="23">
        <f>'Projeção Biel Ajustada'!O90</f>
        <v>47666.66667</v>
      </c>
      <c r="O19" s="23">
        <f>'Projeção Biel Ajustada'!P90</f>
        <v>47666.66667</v>
      </c>
      <c r="P19" s="1"/>
      <c r="Q19" s="1"/>
      <c r="W19" s="41" t="s">
        <v>40</v>
      </c>
      <c r="X19" s="42">
        <f t="shared" ref="X19:AB19" si="10">SUM(X14:X18)</f>
        <v>337426.9333</v>
      </c>
      <c r="Y19" s="42">
        <f t="shared" si="10"/>
        <v>610188.8</v>
      </c>
      <c r="Z19" s="42">
        <f t="shared" si="10"/>
        <v>890828.8</v>
      </c>
      <c r="AA19" s="42">
        <f t="shared" si="10"/>
        <v>946009.6</v>
      </c>
      <c r="AB19" s="43">
        <f t="shared" si="10"/>
        <v>2784454.133</v>
      </c>
    </row>
    <row r="20">
      <c r="A20" s="1"/>
      <c r="B20" s="1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1"/>
      <c r="Q20" s="1"/>
    </row>
    <row r="21">
      <c r="A21" s="1"/>
      <c r="B21" s="1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1"/>
      <c r="Q21" s="1"/>
    </row>
    <row r="22">
      <c r="A22" s="1"/>
      <c r="B22" s="1"/>
      <c r="C22" s="19" t="s">
        <v>48</v>
      </c>
      <c r="D22" s="20">
        <f t="shared" ref="D22:O22" si="11">SUM(D23:D25)</f>
        <v>0</v>
      </c>
      <c r="E22" s="20">
        <f t="shared" si="11"/>
        <v>0</v>
      </c>
      <c r="F22" s="20">
        <f t="shared" si="11"/>
        <v>0</v>
      </c>
      <c r="G22" s="20">
        <f t="shared" si="11"/>
        <v>281.6</v>
      </c>
      <c r="H22" s="20">
        <f t="shared" si="11"/>
        <v>588.8</v>
      </c>
      <c r="I22" s="20">
        <f t="shared" si="11"/>
        <v>11654.4</v>
      </c>
      <c r="J22" s="20">
        <f t="shared" si="11"/>
        <v>23571.2</v>
      </c>
      <c r="K22" s="20">
        <f t="shared" si="11"/>
        <v>25939.2</v>
      </c>
      <c r="L22" s="20">
        <f t="shared" si="11"/>
        <v>28358.4</v>
      </c>
      <c r="M22" s="20">
        <f t="shared" si="11"/>
        <v>30403.2</v>
      </c>
      <c r="N22" s="20">
        <f t="shared" si="11"/>
        <v>30371.2</v>
      </c>
      <c r="O22" s="20">
        <f t="shared" si="11"/>
        <v>29939.2</v>
      </c>
      <c r="P22" s="1"/>
      <c r="Q22" s="1"/>
    </row>
    <row r="23">
      <c r="A23" s="1"/>
      <c r="B23" s="1"/>
      <c r="C23" s="22" t="s">
        <v>53</v>
      </c>
      <c r="D23" s="23"/>
      <c r="E23" s="23"/>
      <c r="F23" s="23"/>
      <c r="G23" s="23">
        <f>'Projeção Biel Ajustada'!H60</f>
        <v>281.6</v>
      </c>
      <c r="H23" s="23">
        <f>'Projeção Biel Ajustada'!I60</f>
        <v>588.8</v>
      </c>
      <c r="I23" s="23">
        <f>'Projeção Biel Ajustada'!J60</f>
        <v>921.6</v>
      </c>
      <c r="J23" s="23">
        <f>'Projeção Biel Ajustada'!K60</f>
        <v>1280</v>
      </c>
      <c r="K23" s="23">
        <f>'Projeção Biel Ajustada'!L60</f>
        <v>1664</v>
      </c>
      <c r="L23" s="23">
        <f>'Projeção Biel Ajustada'!M60</f>
        <v>2073.6</v>
      </c>
      <c r="M23" s="23">
        <f>'Projeção Biel Ajustada'!N60</f>
        <v>2496</v>
      </c>
      <c r="N23" s="23">
        <f>'Projeção Biel Ajustada'!O60</f>
        <v>2880</v>
      </c>
      <c r="O23" s="23">
        <f>'Projeção Biel Ajustada'!P60</f>
        <v>3264</v>
      </c>
      <c r="P23" s="1"/>
      <c r="Q23" s="1"/>
    </row>
    <row r="24">
      <c r="A24" s="1"/>
      <c r="B24" s="1"/>
      <c r="C24" s="22" t="s">
        <v>54</v>
      </c>
      <c r="D24" s="44"/>
      <c r="E24" s="44"/>
      <c r="F24" s="44"/>
      <c r="G24" s="44"/>
      <c r="H24" s="44"/>
      <c r="I24" s="23">
        <f>'Projeção Biel Ajustada'!J68</f>
        <v>332.8</v>
      </c>
      <c r="J24" s="23">
        <f>'Projeção Biel Ajustada'!K68</f>
        <v>691.2</v>
      </c>
      <c r="K24" s="23">
        <f>'Projeção Biel Ajustada'!L68</f>
        <v>1075.2</v>
      </c>
      <c r="L24" s="23">
        <f>'Projeção Biel Ajustada'!M68</f>
        <v>1484.8</v>
      </c>
      <c r="M24" s="23">
        <f>'Projeção Biel Ajustada'!N68</f>
        <v>1907.2</v>
      </c>
      <c r="N24" s="23">
        <f>'Projeção Biel Ajustada'!O68</f>
        <v>2291.2</v>
      </c>
      <c r="O24" s="23">
        <f>'Projeção Biel Ajustada'!P68</f>
        <v>2675.2</v>
      </c>
      <c r="P24" s="1"/>
      <c r="Q24" s="1"/>
    </row>
    <row r="25">
      <c r="A25" s="1"/>
      <c r="B25" s="1"/>
      <c r="C25" s="22" t="s">
        <v>51</v>
      </c>
      <c r="D25" s="44"/>
      <c r="E25" s="44"/>
      <c r="F25" s="44"/>
      <c r="G25" s="44"/>
      <c r="H25" s="44"/>
      <c r="I25" s="23">
        <f>'Projeção Biel Ajustada'!J73</f>
        <v>10400</v>
      </c>
      <c r="J25" s="23">
        <f>'Projeção Biel Ajustada'!K73</f>
        <v>21600</v>
      </c>
      <c r="K25" s="23">
        <f>'Projeção Biel Ajustada'!L73</f>
        <v>23200</v>
      </c>
      <c r="L25" s="23">
        <f>'Projeção Biel Ajustada'!M73</f>
        <v>24800</v>
      </c>
      <c r="M25" s="23">
        <f>'Projeção Biel Ajustada'!N73</f>
        <v>26000</v>
      </c>
      <c r="N25" s="23">
        <f>'Projeção Biel Ajustada'!O73</f>
        <v>25200</v>
      </c>
      <c r="O25" s="23">
        <f>'Projeção Biel Ajustada'!P73</f>
        <v>24000</v>
      </c>
      <c r="P25" s="1"/>
      <c r="Q25" s="1"/>
    </row>
    <row r="26">
      <c r="A26" s="1"/>
      <c r="B26" s="1"/>
      <c r="I26" s="17"/>
      <c r="J26" s="17"/>
      <c r="K26" s="17"/>
      <c r="L26" s="17"/>
      <c r="M26" s="17"/>
      <c r="N26" s="17"/>
      <c r="O26" s="17"/>
      <c r="P26" s="1"/>
      <c r="Q26" s="1"/>
    </row>
    <row r="27">
      <c r="A27" s="1"/>
      <c r="B27" s="1"/>
      <c r="C27" s="45" t="s">
        <v>55</v>
      </c>
      <c r="D27" s="46">
        <f t="shared" ref="D27:O27" si="12">SUM(D28:D33)</f>
        <v>22949.73667</v>
      </c>
      <c r="E27" s="46">
        <f t="shared" si="12"/>
        <v>24412.73</v>
      </c>
      <c r="F27" s="46">
        <f t="shared" si="12"/>
        <v>31955.06533</v>
      </c>
      <c r="G27" s="46">
        <f t="shared" si="12"/>
        <v>32978.06667</v>
      </c>
      <c r="H27" s="46">
        <f t="shared" si="12"/>
        <v>35165.6</v>
      </c>
      <c r="I27" s="46">
        <f t="shared" si="12"/>
        <v>39759.73333</v>
      </c>
      <c r="J27" s="46">
        <f t="shared" si="12"/>
        <v>42625.86667</v>
      </c>
      <c r="K27" s="46">
        <f t="shared" si="12"/>
        <v>46452</v>
      </c>
      <c r="L27" s="46">
        <f t="shared" si="12"/>
        <v>49382.13333</v>
      </c>
      <c r="M27" s="46">
        <f t="shared" si="12"/>
        <v>50847.2</v>
      </c>
      <c r="N27" s="46">
        <f t="shared" si="12"/>
        <v>46452</v>
      </c>
      <c r="O27" s="46">
        <f t="shared" si="12"/>
        <v>46452</v>
      </c>
      <c r="P27" s="1"/>
      <c r="Q27" s="1"/>
    </row>
    <row r="28">
      <c r="A28" s="1"/>
      <c r="B28" s="1"/>
      <c r="C28" s="22" t="s">
        <v>56</v>
      </c>
      <c r="D28" s="23">
        <f>'Projeção Biel Ajustada'!E112</f>
        <v>2061.006667</v>
      </c>
      <c r="E28" s="23">
        <f>'Projeção Biel Ajustada'!F112</f>
        <v>2732</v>
      </c>
      <c r="F28" s="23">
        <f>'Projeção Biel Ajustada'!G112</f>
        <v>7285.333333</v>
      </c>
      <c r="G28" s="23">
        <f>'Projeção Biel Ajustada'!H112</f>
        <v>8717.866667</v>
      </c>
      <c r="H28" s="23">
        <f>'Projeção Biel Ajustada'!I112</f>
        <v>9510.4</v>
      </c>
      <c r="I28" s="23">
        <f>'Projeção Biel Ajustada'!J112</f>
        <v>12174.93333</v>
      </c>
      <c r="J28" s="23">
        <f>'Projeção Biel Ajustada'!K112</f>
        <v>13111.46667</v>
      </c>
      <c r="K28" s="23">
        <f>'Projeção Biel Ajustada'!L112</f>
        <v>15008</v>
      </c>
      <c r="L28" s="23">
        <f>'Projeção Biel Ajustada'!M112</f>
        <v>16008.53333</v>
      </c>
      <c r="M28" s="23">
        <f>'Projeção Biel Ajustada'!N112</f>
        <v>16508.8</v>
      </c>
      <c r="N28" s="23">
        <f>'Projeção Biel Ajustada'!O112</f>
        <v>15008</v>
      </c>
      <c r="O28" s="23">
        <f>'Projeção Biel Ajustada'!P112</f>
        <v>15008</v>
      </c>
      <c r="P28" s="1"/>
      <c r="Q28" s="1"/>
    </row>
    <row r="29">
      <c r="A29" s="1"/>
      <c r="B29" s="1"/>
      <c r="C29" s="22" t="s">
        <v>57</v>
      </c>
      <c r="D29" s="23">
        <f>'Projeção Biel Ajustada'!E91+(D12*20%)</f>
        <v>14908.73</v>
      </c>
      <c r="E29" s="23">
        <f>'Projeção Biel Ajustada'!F91+(E12*20%)</f>
        <v>15004.73</v>
      </c>
      <c r="F29" s="23">
        <f>'Projeção Biel Ajustada'!G91+(F12*20%)</f>
        <v>16601.732</v>
      </c>
      <c r="G29" s="23">
        <f>'Projeção Biel Ajustada'!H91+(G12*20%)</f>
        <v>15635.4</v>
      </c>
      <c r="H29" s="23">
        <f>'Projeção Biel Ajustada'!I91</f>
        <v>16473.6</v>
      </c>
      <c r="I29" s="23">
        <f>'Projeção Biel Ajustada'!J91</f>
        <v>17846.4</v>
      </c>
      <c r="J29" s="23">
        <f>'Projeção Biel Ajustada'!K91</f>
        <v>19219.2</v>
      </c>
      <c r="K29" s="23">
        <f>'Projeção Biel Ajustada'!L91</f>
        <v>20592</v>
      </c>
      <c r="L29" s="23">
        <f>'Projeção Biel Ajustada'!M91</f>
        <v>21964.8</v>
      </c>
      <c r="M29" s="23">
        <f>'Projeção Biel Ajustada'!N91</f>
        <v>22651.2</v>
      </c>
      <c r="N29" s="23">
        <f>'Projeção Biel Ajustada'!O91</f>
        <v>20592</v>
      </c>
      <c r="O29" s="23">
        <f>'Projeção Biel Ajustada'!P91</f>
        <v>20592</v>
      </c>
      <c r="P29" s="1"/>
      <c r="Q29" s="1"/>
    </row>
    <row r="30">
      <c r="A30" s="1"/>
      <c r="B30" s="1"/>
      <c r="C30" s="7" t="s">
        <v>58</v>
      </c>
      <c r="D30" s="23">
        <f>'Premissas gerais'!$B$126+'Premissas gerais'!$B$125</f>
        <v>2500</v>
      </c>
      <c r="E30" s="23">
        <f>'Premissas gerais'!$B$126+'Premissas gerais'!$B$125</f>
        <v>2500</v>
      </c>
      <c r="F30" s="23">
        <f>'Premissas gerais'!$B$126+'Premissas gerais'!$B$125</f>
        <v>2500</v>
      </c>
      <c r="G30" s="23">
        <f>'Premissas gerais'!$B$126+'Premissas gerais'!$B$125</f>
        <v>2500</v>
      </c>
      <c r="H30" s="23">
        <f>'Premissas gerais'!$B$126+'Premissas gerais'!$B$125</f>
        <v>2500</v>
      </c>
      <c r="I30" s="23">
        <f>'Premissas gerais'!$B$126+'Premissas gerais'!$B$125</f>
        <v>2500</v>
      </c>
      <c r="J30" s="23">
        <f>'Premissas gerais'!$B$126+'Premissas gerais'!$B$125</f>
        <v>2500</v>
      </c>
      <c r="K30" s="23">
        <f>'Premissas gerais'!$B$126+'Premissas gerais'!$B$125</f>
        <v>2500</v>
      </c>
      <c r="L30" s="23">
        <f>'Premissas gerais'!$B$126+'Premissas gerais'!$B$125</f>
        <v>2500</v>
      </c>
      <c r="M30" s="23">
        <f>'Premissas gerais'!$B$126+'Premissas gerais'!$B$125</f>
        <v>2500</v>
      </c>
      <c r="N30" s="23">
        <f>'Premissas gerais'!$B$126+'Premissas gerais'!$B$125</f>
        <v>2500</v>
      </c>
      <c r="O30" s="23">
        <f>'Premissas gerais'!$B$126+'Premissas gerais'!$B$125</f>
        <v>2500</v>
      </c>
      <c r="P30" s="1"/>
      <c r="Q30" s="1"/>
    </row>
    <row r="31">
      <c r="A31" s="1"/>
      <c r="B31" s="1"/>
      <c r="C31" s="7" t="s">
        <v>59</v>
      </c>
      <c r="D31" s="23">
        <f>'Projeção Biel Ajustada'!E36</f>
        <v>3480</v>
      </c>
      <c r="E31" s="23">
        <f>'Projeção Biel Ajustada'!F36</f>
        <v>4176</v>
      </c>
      <c r="F31" s="23">
        <f>'Projeção Biel Ajustada'!G36</f>
        <v>5568</v>
      </c>
      <c r="G31" s="23">
        <f>'Projeção Biel Ajustada'!H36</f>
        <v>6124.8</v>
      </c>
      <c r="H31" s="23">
        <f>'Projeção Biel Ajustada'!I36</f>
        <v>6681.6</v>
      </c>
      <c r="I31" s="23">
        <f>'Projeção Biel Ajustada'!J36</f>
        <v>7238.4</v>
      </c>
      <c r="J31" s="23">
        <f>'Projeção Biel Ajustada'!K36</f>
        <v>7795.2</v>
      </c>
      <c r="K31" s="23">
        <f>'Projeção Biel Ajustada'!L36</f>
        <v>8352</v>
      </c>
      <c r="L31" s="23">
        <f>'Projeção Biel Ajustada'!M36</f>
        <v>8908.8</v>
      </c>
      <c r="M31" s="23">
        <f>'Projeção Biel Ajustada'!N36</f>
        <v>9187.2</v>
      </c>
      <c r="N31" s="23">
        <f>'Projeção Biel Ajustada'!O36</f>
        <v>8352</v>
      </c>
      <c r="O31" s="23">
        <f>'Projeção Biel Ajustada'!P36</f>
        <v>8352</v>
      </c>
      <c r="P31" s="1"/>
      <c r="Q31" s="1"/>
    </row>
    <row r="32">
      <c r="A32" s="1"/>
      <c r="B32" s="1"/>
      <c r="C32" s="7" t="s">
        <v>60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1"/>
      <c r="Q32" s="1"/>
    </row>
    <row r="33">
      <c r="A33" s="1"/>
      <c r="B33" s="1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1"/>
      <c r="Q33" s="1"/>
    </row>
    <row r="34">
      <c r="A34" s="1"/>
      <c r="B34" s="1"/>
      <c r="C34" s="47" t="s">
        <v>25</v>
      </c>
      <c r="D34" s="48">
        <f t="shared" ref="D34:O34" si="13">D5-D27</f>
        <v>120301.16</v>
      </c>
      <c r="E34" s="48">
        <f t="shared" si="13"/>
        <v>119186.4767</v>
      </c>
      <c r="F34" s="48">
        <f t="shared" si="13"/>
        <v>125242.458</v>
      </c>
      <c r="G34" s="48">
        <f t="shared" si="13"/>
        <v>137304.75</v>
      </c>
      <c r="H34" s="48">
        <f t="shared" si="13"/>
        <v>148520</v>
      </c>
      <c r="I34" s="48">
        <f t="shared" si="13"/>
        <v>183346.1333</v>
      </c>
      <c r="J34" s="48">
        <f t="shared" si="13"/>
        <v>215927.4667</v>
      </c>
      <c r="K34" s="48">
        <f t="shared" si="13"/>
        <v>239920</v>
      </c>
      <c r="L34" s="48">
        <f t="shared" si="13"/>
        <v>265499.7333</v>
      </c>
      <c r="M34" s="48">
        <f t="shared" si="13"/>
        <v>286348.8</v>
      </c>
      <c r="N34" s="48">
        <f t="shared" si="13"/>
        <v>299794.6667</v>
      </c>
      <c r="O34" s="48">
        <f t="shared" si="13"/>
        <v>299362.6667</v>
      </c>
      <c r="P34" s="1"/>
      <c r="Q34" s="1"/>
    </row>
    <row r="35">
      <c r="A35" s="1"/>
      <c r="B35" s="1"/>
      <c r="C35" s="22" t="s">
        <v>28</v>
      </c>
      <c r="D35" s="49">
        <f t="shared" ref="D35:O35" si="14">D34/D5</f>
        <v>0.839793417</v>
      </c>
      <c r="E35" s="49">
        <f t="shared" si="14"/>
        <v>0.8299939772</v>
      </c>
      <c r="F35" s="49">
        <f t="shared" si="14"/>
        <v>0.7967203003</v>
      </c>
      <c r="G35" s="49">
        <f t="shared" si="14"/>
        <v>0.8063335614</v>
      </c>
      <c r="H35" s="49">
        <f t="shared" si="14"/>
        <v>0.8085554883</v>
      </c>
      <c r="I35" s="49">
        <f t="shared" si="14"/>
        <v>0.8217898349</v>
      </c>
      <c r="J35" s="49">
        <f t="shared" si="14"/>
        <v>0.8351370446</v>
      </c>
      <c r="K35" s="49">
        <f t="shared" si="14"/>
        <v>0.8377914042</v>
      </c>
      <c r="L35" s="49">
        <f t="shared" si="14"/>
        <v>0.8431725083</v>
      </c>
      <c r="M35" s="49">
        <f t="shared" si="14"/>
        <v>0.8492058032</v>
      </c>
      <c r="N35" s="49">
        <f t="shared" si="14"/>
        <v>0.8658413077</v>
      </c>
      <c r="O35" s="49">
        <f t="shared" si="14"/>
        <v>0.8656737135</v>
      </c>
      <c r="P35" s="1"/>
      <c r="Q35" s="1"/>
    </row>
    <row r="36">
      <c r="A36" s="1"/>
      <c r="B36" s="1"/>
      <c r="P36" s="1"/>
      <c r="Q36" s="1"/>
    </row>
    <row r="37">
      <c r="A37" s="1"/>
      <c r="B37" s="1"/>
      <c r="C37" s="50" t="s">
        <v>61</v>
      </c>
      <c r="D37" s="51">
        <f t="shared" ref="D37:O37" si="15">SUM(D39,D40,D41,D42,D43)</f>
        <v>28964.8797</v>
      </c>
      <c r="E37" s="51">
        <f t="shared" si="15"/>
        <v>25993.25206</v>
      </c>
      <c r="F37" s="51">
        <f t="shared" si="15"/>
        <v>26403.29688</v>
      </c>
      <c r="G37" s="51">
        <f t="shared" si="15"/>
        <v>28625.37556</v>
      </c>
      <c r="H37" s="51">
        <f t="shared" si="15"/>
        <v>30811.5308</v>
      </c>
      <c r="I37" s="51">
        <f t="shared" si="15"/>
        <v>33082.13575</v>
      </c>
      <c r="J37" s="51">
        <f t="shared" si="15"/>
        <v>39040.9242</v>
      </c>
      <c r="K37" s="51">
        <f t="shared" si="15"/>
        <v>47275.17502</v>
      </c>
      <c r="L37" s="51">
        <f t="shared" si="15"/>
        <v>50882.13348</v>
      </c>
      <c r="M37" s="51">
        <f t="shared" si="15"/>
        <v>57067.46242</v>
      </c>
      <c r="N37" s="51">
        <f t="shared" si="15"/>
        <v>62239.07898</v>
      </c>
      <c r="O37" s="51">
        <f t="shared" si="15"/>
        <v>65331.50819</v>
      </c>
      <c r="P37" s="1"/>
      <c r="Q37" s="1"/>
    </row>
    <row r="38">
      <c r="A38" s="1"/>
      <c r="B38" s="1"/>
      <c r="C38" s="7" t="s">
        <v>62</v>
      </c>
      <c r="D38" s="52">
        <f>'Premissas gerais'!N115</f>
        <v>0.1279883643</v>
      </c>
      <c r="E38" s="52">
        <f>'Premissas gerais'!O115</f>
        <v>0.1301616429</v>
      </c>
      <c r="F38" s="52">
        <f>'Premissas gerais'!P115</f>
        <v>0.1319058602</v>
      </c>
      <c r="G38" s="52">
        <f>'Premissas gerais'!Q115</f>
        <v>0.1338897097</v>
      </c>
      <c r="H38" s="52">
        <f>'Premissas gerais'!R115</f>
        <v>0.1357414163</v>
      </c>
      <c r="I38" s="52">
        <f>'Premissas gerais'!S115</f>
        <v>0.1375382896</v>
      </c>
      <c r="J38" s="52">
        <f>'Premissas gerais'!T115</f>
        <v>0.1393909318</v>
      </c>
      <c r="K38" s="52">
        <f>'Premissas gerais'!U116</f>
        <v>0.1431312248</v>
      </c>
      <c r="L38" s="52">
        <f>'Premissas gerais'!V116</f>
        <v>0.1490556372</v>
      </c>
      <c r="M38" s="52">
        <f>'Premissas gerais'!W116</f>
        <v>0.1547865063</v>
      </c>
      <c r="N38" s="52">
        <f>'Premissas gerais'!X116</f>
        <v>0.1594835948</v>
      </c>
      <c r="O38" s="52">
        <f>'Premissas gerais'!Y116</f>
        <v>0.1638517783</v>
      </c>
      <c r="P38" s="1"/>
      <c r="Q38" s="1"/>
    </row>
    <row r="39">
      <c r="A39" s="1"/>
      <c r="B39" s="1"/>
      <c r="C39" s="7" t="s">
        <v>63</v>
      </c>
      <c r="D39" s="23">
        <f>'Premissas gerais'!M114*D38</f>
        <v>20242.6397</v>
      </c>
      <c r="E39" s="23">
        <f t="shared" ref="E39:O39" si="16">D5*E38</f>
        <v>18645.77206</v>
      </c>
      <c r="F39" s="23">
        <f t="shared" si="16"/>
        <v>18941.57688</v>
      </c>
      <c r="G39" s="23">
        <f t="shared" si="16"/>
        <v>21047.13076</v>
      </c>
      <c r="H39" s="23">
        <f t="shared" si="16"/>
        <v>23114.4307</v>
      </c>
      <c r="I39" s="23">
        <f t="shared" si="16"/>
        <v>25263.80325</v>
      </c>
      <c r="J39" s="23">
        <f t="shared" si="16"/>
        <v>31098.93465</v>
      </c>
      <c r="K39" s="23">
        <f t="shared" si="16"/>
        <v>37007.05528</v>
      </c>
      <c r="L39" s="23">
        <f t="shared" si="16"/>
        <v>42685.36094</v>
      </c>
      <c r="M39" s="23">
        <f t="shared" si="16"/>
        <v>48739.46403</v>
      </c>
      <c r="N39" s="23">
        <f t="shared" si="16"/>
        <v>53777.23023</v>
      </c>
      <c r="O39" s="23">
        <f t="shared" si="16"/>
        <v>56733.13207</v>
      </c>
      <c r="P39" s="1"/>
      <c r="Q39" s="1"/>
    </row>
    <row r="40">
      <c r="A40" s="1"/>
      <c r="B40" s="1"/>
      <c r="C40" s="22" t="s">
        <v>64</v>
      </c>
      <c r="D40" s="23">
        <f>11%*1621*4</f>
        <v>713.24</v>
      </c>
      <c r="E40" s="23">
        <f t="shared" ref="E40:O40" si="17">11%*1621*8</f>
        <v>1426.48</v>
      </c>
      <c r="F40" s="23">
        <f t="shared" si="17"/>
        <v>1426.48</v>
      </c>
      <c r="G40" s="23">
        <f t="shared" si="17"/>
        <v>1426.48</v>
      </c>
      <c r="H40" s="23">
        <f t="shared" si="17"/>
        <v>1426.48</v>
      </c>
      <c r="I40" s="23">
        <f t="shared" si="17"/>
        <v>1426.48</v>
      </c>
      <c r="J40" s="23">
        <f t="shared" si="17"/>
        <v>1426.48</v>
      </c>
      <c r="K40" s="23">
        <f t="shared" si="17"/>
        <v>1426.48</v>
      </c>
      <c r="L40" s="23">
        <f t="shared" si="17"/>
        <v>1426.48</v>
      </c>
      <c r="M40" s="23">
        <f t="shared" si="17"/>
        <v>1426.48</v>
      </c>
      <c r="N40" s="23">
        <f t="shared" si="17"/>
        <v>1426.48</v>
      </c>
      <c r="O40" s="23">
        <f t="shared" si="17"/>
        <v>1426.48</v>
      </c>
      <c r="P40" s="1"/>
      <c r="Q40" s="1"/>
    </row>
    <row r="41">
      <c r="A41" s="1"/>
      <c r="B41" s="1"/>
      <c r="C41" s="22" t="s">
        <v>65</v>
      </c>
      <c r="D41" s="24">
        <v>2200.0</v>
      </c>
      <c r="E41" s="23"/>
      <c r="F41" s="23"/>
      <c r="G41" s="23"/>
      <c r="H41" s="23"/>
      <c r="I41" s="23"/>
      <c r="J41" s="23"/>
      <c r="K41" s="24">
        <v>2200.0</v>
      </c>
      <c r="L41" s="40"/>
      <c r="M41" s="40"/>
      <c r="N41" s="40"/>
      <c r="O41" s="40"/>
      <c r="P41" s="1"/>
      <c r="Q41" s="1"/>
    </row>
    <row r="42">
      <c r="A42" s="1"/>
      <c r="B42" s="1"/>
      <c r="C42" s="22" t="s">
        <v>66</v>
      </c>
      <c r="D42" s="24">
        <v>5600.0</v>
      </c>
      <c r="E42" s="23">
        <f t="shared" ref="E42:O42" si="18">D42*1.02</f>
        <v>5712</v>
      </c>
      <c r="F42" s="23">
        <f t="shared" si="18"/>
        <v>5826.24</v>
      </c>
      <c r="G42" s="23">
        <f t="shared" si="18"/>
        <v>5942.7648</v>
      </c>
      <c r="H42" s="23">
        <f t="shared" si="18"/>
        <v>6061.620096</v>
      </c>
      <c r="I42" s="23">
        <f t="shared" si="18"/>
        <v>6182.852498</v>
      </c>
      <c r="J42" s="23">
        <f t="shared" si="18"/>
        <v>6306.509548</v>
      </c>
      <c r="K42" s="23">
        <f t="shared" si="18"/>
        <v>6432.639739</v>
      </c>
      <c r="L42" s="23">
        <f t="shared" si="18"/>
        <v>6561.292534</v>
      </c>
      <c r="M42" s="23">
        <f t="shared" si="18"/>
        <v>6692.518384</v>
      </c>
      <c r="N42" s="23">
        <f t="shared" si="18"/>
        <v>6826.368752</v>
      </c>
      <c r="O42" s="23">
        <f t="shared" si="18"/>
        <v>6962.896127</v>
      </c>
      <c r="P42" s="1"/>
      <c r="Q42" s="1"/>
    </row>
    <row r="43">
      <c r="A43" s="1"/>
      <c r="B43" s="1"/>
      <c r="C43" s="53" t="s">
        <v>67</v>
      </c>
      <c r="D43" s="24">
        <f t="shared" ref="D43:O43" si="19">69+70+70</f>
        <v>209</v>
      </c>
      <c r="E43" s="24">
        <f t="shared" si="19"/>
        <v>209</v>
      </c>
      <c r="F43" s="24">
        <f t="shared" si="19"/>
        <v>209</v>
      </c>
      <c r="G43" s="24">
        <f t="shared" si="19"/>
        <v>209</v>
      </c>
      <c r="H43" s="24">
        <f t="shared" si="19"/>
        <v>209</v>
      </c>
      <c r="I43" s="24">
        <f t="shared" si="19"/>
        <v>209</v>
      </c>
      <c r="J43" s="24">
        <f t="shared" si="19"/>
        <v>209</v>
      </c>
      <c r="K43" s="24">
        <f t="shared" si="19"/>
        <v>209</v>
      </c>
      <c r="L43" s="24">
        <f t="shared" si="19"/>
        <v>209</v>
      </c>
      <c r="M43" s="24">
        <f t="shared" si="19"/>
        <v>209</v>
      </c>
      <c r="N43" s="24">
        <f t="shared" si="19"/>
        <v>209</v>
      </c>
      <c r="O43" s="24">
        <f t="shared" si="19"/>
        <v>209</v>
      </c>
      <c r="P43" s="1"/>
      <c r="Q43" s="1"/>
    </row>
    <row r="44">
      <c r="A44" s="1"/>
      <c r="B44" s="1"/>
      <c r="P44" s="1"/>
      <c r="Q44" s="1"/>
    </row>
    <row r="45">
      <c r="A45" s="1"/>
      <c r="B45" s="1"/>
      <c r="C45" s="54" t="s">
        <v>68</v>
      </c>
      <c r="D45" s="55">
        <f t="shared" ref="D45:O45" si="20">SUM(D47,D50,D54)</f>
        <v>87355.0703</v>
      </c>
      <c r="E45" s="55">
        <f t="shared" si="20"/>
        <v>91948.01923</v>
      </c>
      <c r="F45" s="55">
        <f t="shared" si="20"/>
        <v>94486.5348</v>
      </c>
      <c r="G45" s="55">
        <f t="shared" si="20"/>
        <v>97511.329</v>
      </c>
      <c r="H45" s="55">
        <f t="shared" si="20"/>
        <v>99664.576</v>
      </c>
      <c r="I45" s="55">
        <f t="shared" si="20"/>
        <v>103329.1787</v>
      </c>
      <c r="J45" s="55">
        <f t="shared" si="20"/>
        <v>120600.6133</v>
      </c>
      <c r="K45" s="55">
        <f t="shared" si="20"/>
        <v>123462.32</v>
      </c>
      <c r="L45" s="55">
        <f t="shared" si="20"/>
        <v>126442.2987</v>
      </c>
      <c r="M45" s="55">
        <f t="shared" si="20"/>
        <v>128777.04</v>
      </c>
      <c r="N45" s="55">
        <f t="shared" si="20"/>
        <v>129826.9333</v>
      </c>
      <c r="O45" s="55">
        <f t="shared" si="20"/>
        <v>161201.0133</v>
      </c>
      <c r="P45" s="1"/>
      <c r="Q45" s="1"/>
    </row>
    <row r="46">
      <c r="A46" s="1"/>
      <c r="B46" s="1"/>
      <c r="P46" s="1"/>
      <c r="Q46" s="1"/>
    </row>
    <row r="47">
      <c r="A47" s="1"/>
      <c r="B47" s="1"/>
      <c r="C47" s="56" t="s">
        <v>69</v>
      </c>
      <c r="D47" s="57">
        <f t="shared" ref="D47:O47" si="21">SUM(D48:D49)</f>
        <v>9721</v>
      </c>
      <c r="E47" s="57">
        <f t="shared" si="21"/>
        <v>9721</v>
      </c>
      <c r="F47" s="57">
        <f t="shared" si="21"/>
        <v>9721</v>
      </c>
      <c r="G47" s="57">
        <f t="shared" si="21"/>
        <v>9721</v>
      </c>
      <c r="H47" s="57">
        <f t="shared" si="21"/>
        <v>9721</v>
      </c>
      <c r="I47" s="57">
        <f t="shared" si="21"/>
        <v>9721</v>
      </c>
      <c r="J47" s="57">
        <f t="shared" si="21"/>
        <v>9721</v>
      </c>
      <c r="K47" s="57">
        <f t="shared" si="21"/>
        <v>9721</v>
      </c>
      <c r="L47" s="57">
        <f t="shared" si="21"/>
        <v>9721</v>
      </c>
      <c r="M47" s="57">
        <f t="shared" si="21"/>
        <v>9721</v>
      </c>
      <c r="N47" s="57">
        <f t="shared" si="21"/>
        <v>9721</v>
      </c>
      <c r="O47" s="57">
        <f t="shared" si="21"/>
        <v>9721</v>
      </c>
      <c r="P47" s="1"/>
      <c r="Q47" s="1"/>
    </row>
    <row r="48">
      <c r="A48" s="1"/>
      <c r="B48" s="1"/>
      <c r="C48" s="58" t="s">
        <v>70</v>
      </c>
      <c r="D48" s="37">
        <f>'Premissas gerais'!$B$90</f>
        <v>7000</v>
      </c>
      <c r="E48" s="37">
        <f>'Premissas gerais'!$B$90</f>
        <v>7000</v>
      </c>
      <c r="F48" s="37">
        <f>'Premissas gerais'!$B$90</f>
        <v>7000</v>
      </c>
      <c r="G48" s="37">
        <f>'Premissas gerais'!$B$90</f>
        <v>7000</v>
      </c>
      <c r="H48" s="37">
        <f>'Premissas gerais'!$B$90</f>
        <v>7000</v>
      </c>
      <c r="I48" s="37">
        <f>'Premissas gerais'!$B$90</f>
        <v>7000</v>
      </c>
      <c r="J48" s="37">
        <f>'Premissas gerais'!$B$90</f>
        <v>7000</v>
      </c>
      <c r="K48" s="37">
        <f>'Premissas gerais'!$B$90</f>
        <v>7000</v>
      </c>
      <c r="L48" s="37">
        <f>'Premissas gerais'!$B$90</f>
        <v>7000</v>
      </c>
      <c r="M48" s="37">
        <f>'Premissas gerais'!$B$90</f>
        <v>7000</v>
      </c>
      <c r="N48" s="37">
        <f>'Premissas gerais'!$B$90</f>
        <v>7000</v>
      </c>
      <c r="O48" s="37">
        <f>'Premissas gerais'!$B$90</f>
        <v>7000</v>
      </c>
      <c r="P48" s="1"/>
      <c r="Q48" s="1"/>
    </row>
    <row r="49">
      <c r="A49" s="1"/>
      <c r="B49" s="1"/>
      <c r="C49" s="22" t="s">
        <v>71</v>
      </c>
      <c r="D49" s="37">
        <f>'Premissas gerais'!$B$94</f>
        <v>2721</v>
      </c>
      <c r="E49" s="37">
        <f>'Premissas gerais'!$B$94</f>
        <v>2721</v>
      </c>
      <c r="F49" s="37">
        <f>'Premissas gerais'!$B$94</f>
        <v>2721</v>
      </c>
      <c r="G49" s="37">
        <f>'Premissas gerais'!$B$94</f>
        <v>2721</v>
      </c>
      <c r="H49" s="37">
        <f>'Premissas gerais'!$B$94</f>
        <v>2721</v>
      </c>
      <c r="I49" s="37">
        <f>'Premissas gerais'!$B$94</f>
        <v>2721</v>
      </c>
      <c r="J49" s="37">
        <f>'Premissas gerais'!$B$94</f>
        <v>2721</v>
      </c>
      <c r="K49" s="37">
        <f>'Premissas gerais'!$B$94</f>
        <v>2721</v>
      </c>
      <c r="L49" s="37">
        <f>'Premissas gerais'!$B$94</f>
        <v>2721</v>
      </c>
      <c r="M49" s="37">
        <f>'Premissas gerais'!$B$94</f>
        <v>2721</v>
      </c>
      <c r="N49" s="37">
        <f>'Premissas gerais'!$B$94</f>
        <v>2721</v>
      </c>
      <c r="O49" s="37">
        <f>'Premissas gerais'!$B$94</f>
        <v>2721</v>
      </c>
      <c r="P49" s="1"/>
      <c r="Q49" s="1"/>
    </row>
    <row r="50">
      <c r="A50" s="1"/>
      <c r="B50" s="1"/>
      <c r="C50" s="59" t="s">
        <v>72</v>
      </c>
      <c r="D50" s="20">
        <f t="shared" ref="D50:O50" si="22">SUM(D51:D53)</f>
        <v>60960</v>
      </c>
      <c r="E50" s="20">
        <f t="shared" si="22"/>
        <v>59600</v>
      </c>
      <c r="F50" s="20">
        <f t="shared" si="22"/>
        <v>59600</v>
      </c>
      <c r="G50" s="20">
        <f t="shared" si="22"/>
        <v>59600</v>
      </c>
      <c r="H50" s="20">
        <f t="shared" si="22"/>
        <v>59600</v>
      </c>
      <c r="I50" s="20">
        <f t="shared" si="22"/>
        <v>59600</v>
      </c>
      <c r="J50" s="20">
        <f t="shared" si="22"/>
        <v>73600</v>
      </c>
      <c r="K50" s="20">
        <f t="shared" si="22"/>
        <v>73600</v>
      </c>
      <c r="L50" s="20">
        <f t="shared" si="22"/>
        <v>73600</v>
      </c>
      <c r="M50" s="20">
        <f t="shared" si="22"/>
        <v>73600</v>
      </c>
      <c r="N50" s="20">
        <f t="shared" si="22"/>
        <v>73600</v>
      </c>
      <c r="O50" s="20">
        <f t="shared" si="22"/>
        <v>105000</v>
      </c>
      <c r="P50" s="1"/>
      <c r="Q50" s="1"/>
    </row>
    <row r="51">
      <c r="A51" s="1"/>
      <c r="B51" s="1"/>
      <c r="C51" s="22" t="s">
        <v>73</v>
      </c>
      <c r="D51" s="23">
        <f>SUM('Premissas gerais'!B63:B76,'Premissas gerais'!B82,'Premissas gerais'!B84:B87,'Premissas gerais'!B88)*1.2</f>
        <v>54960</v>
      </c>
      <c r="E51" s="23">
        <f>SUM('Premissas gerais'!$C$63:$C$75,'Premissas gerais'!$C$84:$C$87)</f>
        <v>53600</v>
      </c>
      <c r="F51" s="23">
        <f>SUM('Premissas gerais'!$C$63:$C$75,'Premissas gerais'!$C$84:$C$87)</f>
        <v>53600</v>
      </c>
      <c r="G51" s="23">
        <f>SUM('Premissas gerais'!$C$63:$C$75,'Premissas gerais'!$C$84:$C$87)</f>
        <v>53600</v>
      </c>
      <c r="H51" s="23">
        <f>SUM('Premissas gerais'!$C$63:$C$75,'Premissas gerais'!$C$84:$C$87)</f>
        <v>53600</v>
      </c>
      <c r="I51" s="23">
        <f>SUM('Premissas gerais'!$C$63:$C$75,'Premissas gerais'!$C$84:$C$87)</f>
        <v>53600</v>
      </c>
      <c r="J51" s="23">
        <f>SUM('Premissas gerais'!$D$63:$D$75,'Premissas gerais'!$D$81,'Premissas gerais'!$D$84:$D$87)</f>
        <v>67600</v>
      </c>
      <c r="K51" s="23">
        <f>SUM('Premissas gerais'!$D$63:$D$75,'Premissas gerais'!$D$81,'Premissas gerais'!$D$84:$D$87)</f>
        <v>67600</v>
      </c>
      <c r="L51" s="23">
        <f>SUM('Premissas gerais'!$D$63:$D$75,'Premissas gerais'!$D$81,'Premissas gerais'!$D$84:$D$87)</f>
        <v>67600</v>
      </c>
      <c r="M51" s="23">
        <f>SUM('Premissas gerais'!$D$63:$D$75,'Premissas gerais'!$D$81,'Premissas gerais'!$D$84:$D$87)</f>
        <v>67600</v>
      </c>
      <c r="N51" s="23">
        <f>SUM('Premissas gerais'!$D$63:$D$75,'Premissas gerais'!$D$81,'Premissas gerais'!$D$84:$D$87)</f>
        <v>67600</v>
      </c>
      <c r="O51" s="23">
        <f>SUM('Premissas gerais'!E63:E75,'Premissas gerais'!E83:E87)</f>
        <v>99000</v>
      </c>
      <c r="P51" s="1"/>
      <c r="Q51" s="1"/>
    </row>
    <row r="52">
      <c r="A52" s="1"/>
      <c r="B52" s="1"/>
      <c r="C52" s="22" t="s">
        <v>74</v>
      </c>
      <c r="D52" s="23">
        <f>'Premissas gerais'!$B$89+'Premissas gerais'!$B$80</f>
        <v>4000</v>
      </c>
      <c r="E52" s="23">
        <f>'Premissas gerais'!$B$89+'Premissas gerais'!$B$80</f>
        <v>4000</v>
      </c>
      <c r="F52" s="23">
        <f>'Premissas gerais'!$B$89+'Premissas gerais'!$B$80</f>
        <v>4000</v>
      </c>
      <c r="G52" s="23">
        <f>'Premissas gerais'!$B$89+'Premissas gerais'!$B$80</f>
        <v>4000</v>
      </c>
      <c r="H52" s="23">
        <f>'Premissas gerais'!$B$89+'Premissas gerais'!$B$80</f>
        <v>4000</v>
      </c>
      <c r="I52" s="23">
        <f>'Premissas gerais'!$B$89+'Premissas gerais'!$B$80</f>
        <v>4000</v>
      </c>
      <c r="J52" s="23">
        <f>'Premissas gerais'!$B$89+'Premissas gerais'!$B$80</f>
        <v>4000</v>
      </c>
      <c r="K52" s="23">
        <f>'Premissas gerais'!$B$89+'Premissas gerais'!$B$80</f>
        <v>4000</v>
      </c>
      <c r="L52" s="23">
        <f>'Premissas gerais'!$B$89+'Premissas gerais'!$B$80</f>
        <v>4000</v>
      </c>
      <c r="M52" s="23">
        <f>'Premissas gerais'!$B$89+'Premissas gerais'!$B$80</f>
        <v>4000</v>
      </c>
      <c r="N52" s="23">
        <f>'Premissas gerais'!$B$89+'Premissas gerais'!$B$80</f>
        <v>4000</v>
      </c>
      <c r="O52" s="23">
        <f>'Premissas gerais'!$B$89+'Premissas gerais'!$B$80</f>
        <v>4000</v>
      </c>
      <c r="P52" s="1"/>
      <c r="Q52" s="1"/>
    </row>
    <row r="53">
      <c r="A53" s="1"/>
      <c r="B53" s="1"/>
      <c r="C53" s="22" t="s">
        <v>75</v>
      </c>
      <c r="D53" s="23">
        <f t="shared" ref="D53:O53" si="23">2000</f>
        <v>2000</v>
      </c>
      <c r="E53" s="23">
        <f t="shared" si="23"/>
        <v>2000</v>
      </c>
      <c r="F53" s="23">
        <f t="shared" si="23"/>
        <v>2000</v>
      </c>
      <c r="G53" s="23">
        <f t="shared" si="23"/>
        <v>2000</v>
      </c>
      <c r="H53" s="23">
        <f t="shared" si="23"/>
        <v>2000</v>
      </c>
      <c r="I53" s="23">
        <f t="shared" si="23"/>
        <v>2000</v>
      </c>
      <c r="J53" s="23">
        <f t="shared" si="23"/>
        <v>2000</v>
      </c>
      <c r="K53" s="23">
        <f t="shared" si="23"/>
        <v>2000</v>
      </c>
      <c r="L53" s="23">
        <f t="shared" si="23"/>
        <v>2000</v>
      </c>
      <c r="M53" s="23">
        <f t="shared" si="23"/>
        <v>2000</v>
      </c>
      <c r="N53" s="23">
        <f t="shared" si="23"/>
        <v>2000</v>
      </c>
      <c r="O53" s="23">
        <f t="shared" si="23"/>
        <v>2000</v>
      </c>
      <c r="P53" s="1"/>
      <c r="Q53" s="1"/>
    </row>
    <row r="54">
      <c r="A54" s="1"/>
      <c r="B54" s="1"/>
      <c r="C54" s="56" t="s">
        <v>76</v>
      </c>
      <c r="D54" s="20">
        <f>SUM(D55:D62)</f>
        <v>16674.0703</v>
      </c>
      <c r="E54" s="20">
        <f t="shared" ref="E54:O54" si="24">SUM(E55:E63)</f>
        <v>22627.01923</v>
      </c>
      <c r="F54" s="20">
        <f t="shared" si="24"/>
        <v>25165.5348</v>
      </c>
      <c r="G54" s="20">
        <f t="shared" si="24"/>
        <v>28190.329</v>
      </c>
      <c r="H54" s="20">
        <f t="shared" si="24"/>
        <v>30343.576</v>
      </c>
      <c r="I54" s="20">
        <f t="shared" si="24"/>
        <v>34008.17867</v>
      </c>
      <c r="J54" s="20">
        <f t="shared" si="24"/>
        <v>37279.61333</v>
      </c>
      <c r="K54" s="20">
        <f t="shared" si="24"/>
        <v>40141.32</v>
      </c>
      <c r="L54" s="20">
        <f t="shared" si="24"/>
        <v>43121.29867</v>
      </c>
      <c r="M54" s="20">
        <f t="shared" si="24"/>
        <v>45456.04</v>
      </c>
      <c r="N54" s="20">
        <f t="shared" si="24"/>
        <v>46505.93333</v>
      </c>
      <c r="O54" s="20">
        <f t="shared" si="24"/>
        <v>46480.01333</v>
      </c>
      <c r="P54" s="1"/>
      <c r="Q54" s="1"/>
    </row>
    <row r="55">
      <c r="A55" s="1"/>
      <c r="B55" s="1"/>
      <c r="C55" s="22" t="s">
        <v>77</v>
      </c>
      <c r="D55" s="23">
        <f t="shared" ref="D55:O55" si="25">20%*D31</f>
        <v>696</v>
      </c>
      <c r="E55" s="23">
        <f t="shared" si="25"/>
        <v>835.2</v>
      </c>
      <c r="F55" s="23">
        <f t="shared" si="25"/>
        <v>1113.6</v>
      </c>
      <c r="G55" s="23">
        <f t="shared" si="25"/>
        <v>1224.96</v>
      </c>
      <c r="H55" s="23">
        <f t="shared" si="25"/>
        <v>1336.32</v>
      </c>
      <c r="I55" s="23">
        <f t="shared" si="25"/>
        <v>1447.68</v>
      </c>
      <c r="J55" s="23">
        <f t="shared" si="25"/>
        <v>1559.04</v>
      </c>
      <c r="K55" s="23">
        <f t="shared" si="25"/>
        <v>1670.4</v>
      </c>
      <c r="L55" s="23">
        <f t="shared" si="25"/>
        <v>1781.76</v>
      </c>
      <c r="M55" s="23">
        <f t="shared" si="25"/>
        <v>1837.44</v>
      </c>
      <c r="N55" s="23">
        <f t="shared" si="25"/>
        <v>1670.4</v>
      </c>
      <c r="O55" s="23">
        <f t="shared" si="25"/>
        <v>1670.4</v>
      </c>
      <c r="P55" s="1"/>
      <c r="Q55" s="1"/>
    </row>
    <row r="56">
      <c r="A56" s="1"/>
      <c r="B56" s="1"/>
      <c r="C56" s="22" t="s">
        <v>78</v>
      </c>
      <c r="D56" s="23"/>
      <c r="P56" s="1"/>
      <c r="Q56" s="1"/>
    </row>
    <row r="57">
      <c r="A57" s="1"/>
      <c r="B57" s="1"/>
      <c r="C57" s="60" t="s">
        <v>79</v>
      </c>
      <c r="D57" s="23">
        <f t="shared" ref="D57:O57" si="26">(D14+D18)*0.5%</f>
        <v>103.0503333</v>
      </c>
      <c r="E57" s="23">
        <f t="shared" si="26"/>
        <v>239.6503333</v>
      </c>
      <c r="F57" s="23">
        <f t="shared" si="26"/>
        <v>421.7836667</v>
      </c>
      <c r="G57" s="23">
        <f t="shared" si="26"/>
        <v>639.7303333</v>
      </c>
      <c r="H57" s="23">
        <f t="shared" si="26"/>
        <v>774.44</v>
      </c>
      <c r="I57" s="23">
        <f t="shared" si="26"/>
        <v>916.2133333</v>
      </c>
      <c r="J57" s="23">
        <f t="shared" si="26"/>
        <v>1033.866667</v>
      </c>
      <c r="K57" s="23">
        <f t="shared" si="26"/>
        <v>1161.12</v>
      </c>
      <c r="L57" s="23">
        <f t="shared" si="26"/>
        <v>1291.573333</v>
      </c>
      <c r="M57" s="23">
        <f t="shared" si="26"/>
        <v>1392.92</v>
      </c>
      <c r="N57" s="23">
        <f t="shared" si="26"/>
        <v>1438.333333</v>
      </c>
      <c r="O57" s="23">
        <f t="shared" si="26"/>
        <v>1438.333333</v>
      </c>
      <c r="P57" s="1"/>
      <c r="Q57" s="1"/>
    </row>
    <row r="58">
      <c r="A58" s="1"/>
      <c r="B58" s="1"/>
      <c r="C58" s="7" t="s">
        <v>80</v>
      </c>
      <c r="D58" s="23">
        <f t="shared" ref="D58:O58" si="27">(D14+D18)*1.5%</f>
        <v>309.151</v>
      </c>
      <c r="E58" s="23">
        <f t="shared" si="27"/>
        <v>718.951</v>
      </c>
      <c r="F58" s="23">
        <f t="shared" si="27"/>
        <v>1265.351</v>
      </c>
      <c r="G58" s="23">
        <f t="shared" si="27"/>
        <v>1919.191</v>
      </c>
      <c r="H58" s="23">
        <f t="shared" si="27"/>
        <v>2323.32</v>
      </c>
      <c r="I58" s="23">
        <f t="shared" si="27"/>
        <v>2748.64</v>
      </c>
      <c r="J58" s="23">
        <f t="shared" si="27"/>
        <v>3101.6</v>
      </c>
      <c r="K58" s="23">
        <f t="shared" si="27"/>
        <v>3483.36</v>
      </c>
      <c r="L58" s="23">
        <f t="shared" si="27"/>
        <v>3874.72</v>
      </c>
      <c r="M58" s="23">
        <f t="shared" si="27"/>
        <v>4178.76</v>
      </c>
      <c r="N58" s="23">
        <f t="shared" si="27"/>
        <v>4315</v>
      </c>
      <c r="O58" s="23">
        <f t="shared" si="27"/>
        <v>4315</v>
      </c>
      <c r="P58" s="1"/>
      <c r="Q58" s="1"/>
    </row>
    <row r="59">
      <c r="A59" s="1"/>
      <c r="B59" s="1"/>
      <c r="C59" s="60" t="s">
        <v>81</v>
      </c>
      <c r="D59" s="23">
        <f t="shared" ref="D59:O59" si="28">(D14+D18)*3%</f>
        <v>618.302</v>
      </c>
      <c r="E59" s="23">
        <f t="shared" si="28"/>
        <v>1437.902</v>
      </c>
      <c r="F59" s="23">
        <f t="shared" si="28"/>
        <v>2530.702</v>
      </c>
      <c r="G59" s="23">
        <f t="shared" si="28"/>
        <v>3838.382</v>
      </c>
      <c r="H59" s="23">
        <f t="shared" si="28"/>
        <v>4646.64</v>
      </c>
      <c r="I59" s="23">
        <f t="shared" si="28"/>
        <v>5497.28</v>
      </c>
      <c r="J59" s="23">
        <f t="shared" si="28"/>
        <v>6203.2</v>
      </c>
      <c r="K59" s="23">
        <f t="shared" si="28"/>
        <v>6966.72</v>
      </c>
      <c r="L59" s="23">
        <f t="shared" si="28"/>
        <v>7749.44</v>
      </c>
      <c r="M59" s="23">
        <f t="shared" si="28"/>
        <v>8357.52</v>
      </c>
      <c r="N59" s="23">
        <f t="shared" si="28"/>
        <v>8630</v>
      </c>
      <c r="O59" s="23">
        <f t="shared" si="28"/>
        <v>8630</v>
      </c>
      <c r="P59" s="1"/>
      <c r="Q59" s="1"/>
    </row>
    <row r="60">
      <c r="A60" s="1"/>
      <c r="B60" s="1"/>
      <c r="C60" s="60" t="s">
        <v>20</v>
      </c>
      <c r="D60" s="23">
        <f t="shared" ref="D60:O60" si="29">D34*5%</f>
        <v>6015.058</v>
      </c>
      <c r="E60" s="23">
        <f t="shared" si="29"/>
        <v>5959.323833</v>
      </c>
      <c r="F60" s="23">
        <f t="shared" si="29"/>
        <v>6262.1229</v>
      </c>
      <c r="G60" s="23">
        <f t="shared" si="29"/>
        <v>6865.2375</v>
      </c>
      <c r="H60" s="23">
        <f t="shared" si="29"/>
        <v>7426</v>
      </c>
      <c r="I60" s="23">
        <f t="shared" si="29"/>
        <v>9167.306667</v>
      </c>
      <c r="J60" s="23">
        <f t="shared" si="29"/>
        <v>10796.37333</v>
      </c>
      <c r="K60" s="23">
        <f t="shared" si="29"/>
        <v>11996</v>
      </c>
      <c r="L60" s="23">
        <f t="shared" si="29"/>
        <v>13274.98667</v>
      </c>
      <c r="M60" s="23">
        <f t="shared" si="29"/>
        <v>14317.44</v>
      </c>
      <c r="N60" s="23">
        <f t="shared" si="29"/>
        <v>14989.73333</v>
      </c>
      <c r="O60" s="23">
        <f t="shared" si="29"/>
        <v>14968.13333</v>
      </c>
      <c r="P60" s="1"/>
      <c r="Q60" s="1"/>
    </row>
    <row r="61">
      <c r="A61" s="1"/>
      <c r="B61" s="1"/>
      <c r="C61" s="22" t="s">
        <v>82</v>
      </c>
      <c r="D61" s="23">
        <f>'Premissas gerais'!$B$92-D53</f>
        <v>7500</v>
      </c>
      <c r="E61" s="23">
        <f>'Premissas gerais'!$B$92-E53</f>
        <v>7500</v>
      </c>
      <c r="F61" s="23">
        <f>'Premissas gerais'!$B$92-F53</f>
        <v>7500</v>
      </c>
      <c r="G61" s="23">
        <f>'Premissas gerais'!$B$92-G53</f>
        <v>7500</v>
      </c>
      <c r="H61" s="23">
        <f>'Premissas gerais'!$B$92-H53</f>
        <v>7500</v>
      </c>
      <c r="I61" s="23">
        <f>'Premissas gerais'!$B$92-I53</f>
        <v>7500</v>
      </c>
      <c r="J61" s="23">
        <f>'Premissas gerais'!$B$92-J53</f>
        <v>7500</v>
      </c>
      <c r="K61" s="23">
        <f>'Premissas gerais'!$B$92-K53</f>
        <v>7500</v>
      </c>
      <c r="L61" s="23">
        <f>'Premissas gerais'!$B$92-L53</f>
        <v>7500</v>
      </c>
      <c r="M61" s="23">
        <f>'Premissas gerais'!$B$92-M53</f>
        <v>7500</v>
      </c>
      <c r="N61" s="23">
        <f>'Premissas gerais'!$B$92-N53</f>
        <v>7500</v>
      </c>
      <c r="O61" s="23">
        <f>'Premissas gerais'!$B$92-O53</f>
        <v>7500</v>
      </c>
      <c r="P61" s="1"/>
      <c r="Q61" s="1"/>
    </row>
    <row r="62">
      <c r="A62" s="1"/>
      <c r="B62" s="1"/>
      <c r="C62" s="53" t="s">
        <v>83</v>
      </c>
      <c r="D62" s="23">
        <f t="shared" ref="D62:O62" si="30">D5*1%</f>
        <v>1432.508967</v>
      </c>
      <c r="E62" s="23">
        <f t="shared" si="30"/>
        <v>1435.992067</v>
      </c>
      <c r="F62" s="23">
        <f t="shared" si="30"/>
        <v>1571.975233</v>
      </c>
      <c r="G62" s="23">
        <f t="shared" si="30"/>
        <v>1702.828167</v>
      </c>
      <c r="H62" s="23">
        <f t="shared" si="30"/>
        <v>1836.856</v>
      </c>
      <c r="I62" s="23">
        <f t="shared" si="30"/>
        <v>2231.058667</v>
      </c>
      <c r="J62" s="23">
        <f t="shared" si="30"/>
        <v>2585.533333</v>
      </c>
      <c r="K62" s="23">
        <f t="shared" si="30"/>
        <v>2863.72</v>
      </c>
      <c r="L62" s="23">
        <f t="shared" si="30"/>
        <v>3148.818667</v>
      </c>
      <c r="M62" s="23">
        <f t="shared" si="30"/>
        <v>3371.96</v>
      </c>
      <c r="N62" s="23">
        <f t="shared" si="30"/>
        <v>3462.466667</v>
      </c>
      <c r="O62" s="23">
        <f t="shared" si="30"/>
        <v>3458.146667</v>
      </c>
      <c r="P62" s="1"/>
      <c r="Q62" s="1"/>
    </row>
    <row r="63">
      <c r="A63" s="1"/>
      <c r="B63" s="1"/>
      <c r="C63" s="61" t="s">
        <v>84</v>
      </c>
      <c r="D63" s="62"/>
      <c r="E63" s="63">
        <f>'Premissas gerais'!$C$76</f>
        <v>4500</v>
      </c>
      <c r="F63" s="63">
        <f>'Premissas gerais'!$C$76</f>
        <v>4500</v>
      </c>
      <c r="G63" s="63">
        <f>'Premissas gerais'!$C$76</f>
        <v>4500</v>
      </c>
      <c r="H63" s="63">
        <f>'Premissas gerais'!$C$76</f>
        <v>4500</v>
      </c>
      <c r="I63" s="63">
        <f>'Premissas gerais'!$C$76</f>
        <v>4500</v>
      </c>
      <c r="J63" s="63">
        <f>'Premissas gerais'!$C$76</f>
        <v>4500</v>
      </c>
      <c r="K63" s="63">
        <f>'Premissas gerais'!$C$76</f>
        <v>4500</v>
      </c>
      <c r="L63" s="63">
        <f>'Premissas gerais'!$C$76</f>
        <v>4500</v>
      </c>
      <c r="M63" s="63">
        <f>'Premissas gerais'!$C$76</f>
        <v>4500</v>
      </c>
      <c r="N63" s="63">
        <f>'Premissas gerais'!$C$76</f>
        <v>4500</v>
      </c>
      <c r="O63" s="63">
        <f>'Premissas gerais'!$C$76</f>
        <v>4500</v>
      </c>
      <c r="P63" s="1"/>
      <c r="Q63" s="1"/>
    </row>
    <row r="64">
      <c r="A64" s="1"/>
      <c r="B64" s="1"/>
      <c r="P64" s="1"/>
      <c r="Q64" s="1"/>
    </row>
    <row r="65">
      <c r="A65" s="1"/>
      <c r="B65" s="1"/>
      <c r="C65" s="64" t="s">
        <v>85</v>
      </c>
      <c r="D65" s="65">
        <f t="shared" ref="D65:E65" si="31">D67-SUM(D68:D69)</f>
        <v>32946.0897</v>
      </c>
      <c r="E65" s="65">
        <f t="shared" si="31"/>
        <v>27238.45743</v>
      </c>
      <c r="P65" s="1"/>
      <c r="Q65" s="1"/>
    </row>
    <row r="66">
      <c r="A66" s="1"/>
      <c r="B66" s="1"/>
      <c r="P66" s="1"/>
      <c r="Q66" s="1"/>
    </row>
    <row r="67">
      <c r="A67" s="1"/>
      <c r="B67" s="1"/>
      <c r="C67" s="66" t="s">
        <v>86</v>
      </c>
      <c r="D67" s="65">
        <f t="shared" ref="D67:E67" si="32">D5</f>
        <v>143250.8967</v>
      </c>
      <c r="E67" s="65">
        <f t="shared" si="32"/>
        <v>143599.2067</v>
      </c>
      <c r="P67" s="1"/>
      <c r="Q67" s="1"/>
    </row>
    <row r="68">
      <c r="A68" s="1"/>
      <c r="B68" s="1"/>
      <c r="C68" s="22" t="s">
        <v>87</v>
      </c>
      <c r="D68" s="67">
        <f t="shared" ref="D68:E68" si="33">D45</f>
        <v>87355.0703</v>
      </c>
      <c r="E68" s="67">
        <f t="shared" si="33"/>
        <v>91948.01923</v>
      </c>
      <c r="P68" s="1"/>
      <c r="Q68" s="1"/>
    </row>
    <row r="69">
      <c r="A69" s="1"/>
      <c r="B69" s="1"/>
      <c r="C69" s="22" t="s">
        <v>88</v>
      </c>
      <c r="D69" s="65">
        <f t="shared" ref="D69:E69" si="34">SUM(D27)</f>
        <v>22949.73667</v>
      </c>
      <c r="E69" s="65">
        <f t="shared" si="34"/>
        <v>24412.73</v>
      </c>
      <c r="P69" s="1"/>
      <c r="Q69" s="1"/>
    </row>
    <row r="70">
      <c r="A70" s="1"/>
      <c r="B70" s="1"/>
      <c r="C70" s="68" t="s">
        <v>89</v>
      </c>
      <c r="D70" s="69">
        <f t="shared" ref="D70:O70" si="35">D5-SUM(D27,D37,D45)</f>
        <v>3981.210004</v>
      </c>
      <c r="E70" s="69">
        <f t="shared" si="35"/>
        <v>1245.205371</v>
      </c>
      <c r="F70" s="69">
        <f t="shared" si="35"/>
        <v>4352.626324</v>
      </c>
      <c r="G70" s="69">
        <f t="shared" si="35"/>
        <v>11168.04544</v>
      </c>
      <c r="H70" s="69">
        <f t="shared" si="35"/>
        <v>18043.8932</v>
      </c>
      <c r="I70" s="69">
        <f t="shared" si="35"/>
        <v>46934.81892</v>
      </c>
      <c r="J70" s="69">
        <f t="shared" si="35"/>
        <v>56285.92913</v>
      </c>
      <c r="K70" s="69">
        <f t="shared" si="35"/>
        <v>69182.50498</v>
      </c>
      <c r="L70" s="69">
        <f t="shared" si="35"/>
        <v>88175.30119</v>
      </c>
      <c r="M70" s="69">
        <f t="shared" si="35"/>
        <v>100504.2976</v>
      </c>
      <c r="N70" s="69">
        <f t="shared" si="35"/>
        <v>107728.6543</v>
      </c>
      <c r="O70" s="69">
        <f t="shared" si="35"/>
        <v>72830.14514</v>
      </c>
      <c r="P70" s="1"/>
      <c r="Q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6">
      <c r="D76" s="65">
        <f>SUM(D5:E5)- SUM(D45:E45,D27:E27)</f>
        <v>60184.54713</v>
      </c>
    </row>
    <row r="77">
      <c r="D77" s="70">
        <f>SUM(D5:E5)-SUM(D27:E27)</f>
        <v>239487.6367</v>
      </c>
      <c r="E77" s="71"/>
      <c r="G77" s="72"/>
      <c r="H77" s="71"/>
    </row>
    <row r="78">
      <c r="C78" s="22" t="s">
        <v>28</v>
      </c>
      <c r="D78" s="73">
        <f>D77/SUM(D5:E5)</f>
        <v>0.8348877476</v>
      </c>
      <c r="E78" s="70"/>
      <c r="G78" s="72"/>
      <c r="H78" s="71"/>
    </row>
    <row r="79">
      <c r="C79" s="22" t="s">
        <v>34</v>
      </c>
      <c r="D79" s="73">
        <f>D76/SUM(D5:E5)</f>
        <v>0.209811837</v>
      </c>
      <c r="E79" s="72"/>
      <c r="G79" s="72"/>
      <c r="H79" s="70"/>
    </row>
    <row r="80">
      <c r="C80" s="22" t="s">
        <v>89</v>
      </c>
      <c r="D80" s="70">
        <f>SUM(D70:E70)</f>
        <v>5226.415375</v>
      </c>
      <c r="E80" s="74"/>
      <c r="G80" s="72"/>
      <c r="H80" s="71"/>
    </row>
    <row r="81">
      <c r="C81" s="22" t="s">
        <v>49</v>
      </c>
      <c r="D81" s="73">
        <f>D80/SUM(D5:E5)</f>
        <v>0.01822002263</v>
      </c>
      <c r="E81" s="73"/>
      <c r="G81" s="72"/>
      <c r="H81" s="75"/>
    </row>
    <row r="82">
      <c r="D82" s="72"/>
      <c r="E82" s="70"/>
      <c r="G82" s="72"/>
      <c r="H82" s="71"/>
    </row>
    <row r="83">
      <c r="D83" s="72"/>
      <c r="E83" s="70"/>
      <c r="G83" s="72"/>
      <c r="H83" s="71"/>
    </row>
    <row r="84">
      <c r="D84" s="72"/>
      <c r="E84" s="73"/>
      <c r="G84" s="72"/>
      <c r="H84" s="75"/>
    </row>
    <row r="85">
      <c r="D85" s="72"/>
      <c r="E85" s="70"/>
      <c r="G85" s="72"/>
      <c r="H85" s="71"/>
    </row>
    <row r="86">
      <c r="D86" s="72"/>
      <c r="E86" s="70"/>
      <c r="G86" s="72"/>
      <c r="H86" s="71"/>
    </row>
    <row r="87">
      <c r="D87" s="72"/>
      <c r="E87" s="70"/>
      <c r="G87" s="72"/>
      <c r="H87" s="71"/>
    </row>
    <row r="88">
      <c r="D88" s="72"/>
      <c r="E88" s="73"/>
      <c r="G88" s="72"/>
      <c r="H88" s="75"/>
    </row>
  </sheetData>
  <mergeCells count="1">
    <mergeCell ref="T6:U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78"/>
    <col customWidth="1" min="2" max="2" width="17.11"/>
    <col customWidth="1" min="3" max="3" width="25.0"/>
    <col customWidth="1" min="4" max="4" width="22.78"/>
    <col customWidth="1" min="5" max="5" width="27.78"/>
    <col customWidth="1" min="6" max="6" width="19.44"/>
    <col customWidth="1" min="7" max="7" width="23.44"/>
    <col customWidth="1" min="8" max="8" width="19.0"/>
    <col customWidth="1" min="9" max="9" width="18.44"/>
    <col customWidth="1" min="10" max="10" width="14.0"/>
    <col customWidth="1" min="11" max="11" width="21.33"/>
    <col customWidth="1" min="12" max="12" width="17.0"/>
    <col customWidth="1" min="13" max="13" width="16.33"/>
    <col customWidth="1" min="14" max="14" width="16.11"/>
    <col customWidth="1" min="15" max="15" width="14.0"/>
    <col customWidth="1" min="16" max="16" width="14.67"/>
    <col customWidth="1" min="17" max="17" width="14.0"/>
    <col customWidth="1" min="18" max="18" width="14.67"/>
    <col customWidth="1" min="19" max="19" width="15.44"/>
    <col customWidth="1" min="20" max="26" width="14.67"/>
    <col customWidth="1" min="27" max="27" width="16.11"/>
    <col customWidth="1" min="28" max="28" width="15.44"/>
  </cols>
  <sheetData>
    <row r="1" ht="15.75" customHeight="1">
      <c r="A1" s="76" t="s">
        <v>90</v>
      </c>
      <c r="B1" s="77" t="s">
        <v>91</v>
      </c>
      <c r="C1" s="78" t="s">
        <v>92</v>
      </c>
      <c r="D1" s="76" t="s">
        <v>93</v>
      </c>
      <c r="E1" s="77" t="s">
        <v>94</v>
      </c>
      <c r="F1" s="78" t="s">
        <v>95</v>
      </c>
      <c r="N1" s="79" t="s">
        <v>96</v>
      </c>
      <c r="O1" s="80">
        <v>1.0</v>
      </c>
      <c r="P1" s="80">
        <v>2.0</v>
      </c>
      <c r="Q1" s="80">
        <v>3.0</v>
      </c>
      <c r="R1" s="80">
        <v>4.0</v>
      </c>
      <c r="S1" s="80">
        <v>5.0</v>
      </c>
      <c r="T1" s="80">
        <v>6.0</v>
      </c>
      <c r="U1" s="80">
        <v>7.0</v>
      </c>
      <c r="V1" s="80">
        <v>8.0</v>
      </c>
      <c r="W1" s="80">
        <v>9.0</v>
      </c>
      <c r="X1" s="80">
        <v>10.0</v>
      </c>
      <c r="Y1" s="80">
        <v>11.0</v>
      </c>
      <c r="Z1" s="80">
        <v>12.0</v>
      </c>
      <c r="AA1" s="81" t="s">
        <v>40</v>
      </c>
    </row>
    <row r="2" ht="15.75" customHeight="1">
      <c r="A2" s="82" t="s">
        <v>97</v>
      </c>
      <c r="B2" s="83">
        <v>1200.0</v>
      </c>
      <c r="C2" s="84">
        <f t="shared" ref="C2:C7" si="1">B2/($B$8*30)</f>
        <v>3.333333333</v>
      </c>
      <c r="D2" s="82"/>
      <c r="E2" s="80"/>
      <c r="F2" s="85">
        <f t="shared" ref="F2:F9" si="2">$B$11/B2</f>
        <v>640.3375</v>
      </c>
      <c r="L2" s="86" t="s">
        <v>98</v>
      </c>
      <c r="M2" s="87" t="s">
        <v>99</v>
      </c>
      <c r="N2" s="88">
        <f>AVERAGE(O2:Z2)</f>
        <v>70166.66667</v>
      </c>
      <c r="O2" s="88">
        <v>18000.0</v>
      </c>
      <c r="P2" s="88">
        <v>38000.0</v>
      </c>
      <c r="Q2" s="88">
        <v>11000.0</v>
      </c>
      <c r="R2" s="88">
        <v>76000.0</v>
      </c>
      <c r="S2" s="88">
        <v>64000.0</v>
      </c>
      <c r="T2" s="88">
        <v>77000.0</v>
      </c>
      <c r="U2" s="88">
        <v>70000.0</v>
      </c>
      <c r="V2" s="88">
        <v>105000.0</v>
      </c>
      <c r="W2" s="88">
        <v>82000.0</v>
      </c>
      <c r="X2" s="88">
        <v>112000.0</v>
      </c>
      <c r="Y2" s="88">
        <v>99000.0</v>
      </c>
      <c r="Z2" s="88">
        <v>90000.0</v>
      </c>
      <c r="AA2" s="89">
        <f>SUM(O2:Z2)</f>
        <v>842000</v>
      </c>
    </row>
    <row r="3" ht="15.75" customHeight="1">
      <c r="A3" s="82" t="s">
        <v>100</v>
      </c>
      <c r="B3" s="83">
        <v>587.0</v>
      </c>
      <c r="C3" s="84">
        <f t="shared" si="1"/>
        <v>1.630555556</v>
      </c>
      <c r="D3" s="82" t="s">
        <v>101</v>
      </c>
      <c r="E3" s="90">
        <f t="shared" ref="E3:E7" si="4">B3/B2</f>
        <v>0.4891666667</v>
      </c>
      <c r="F3" s="85">
        <f t="shared" si="2"/>
        <v>1309.037479</v>
      </c>
      <c r="K3" s="91" t="s">
        <v>102</v>
      </c>
      <c r="L3" s="91" t="s">
        <v>103</v>
      </c>
      <c r="M3" s="87" t="s">
        <v>104</v>
      </c>
      <c r="N3" s="92">
        <f>AVERAGE(U2:Z2)*0.9</f>
        <v>83700</v>
      </c>
      <c r="O3" s="93">
        <f t="shared" ref="O3:Z3" si="3">O2/$N$2</f>
        <v>0.2565320665</v>
      </c>
      <c r="P3" s="93">
        <f t="shared" si="3"/>
        <v>0.541567696</v>
      </c>
      <c r="Q3" s="93">
        <f t="shared" si="3"/>
        <v>0.1567695962</v>
      </c>
      <c r="R3" s="93">
        <f t="shared" si="3"/>
        <v>1.083135392</v>
      </c>
      <c r="S3" s="93">
        <f t="shared" si="3"/>
        <v>0.9121140143</v>
      </c>
      <c r="T3" s="93">
        <f t="shared" si="3"/>
        <v>1.097387173</v>
      </c>
      <c r="U3" s="93">
        <f t="shared" si="3"/>
        <v>0.9976247031</v>
      </c>
      <c r="V3" s="93">
        <f t="shared" si="3"/>
        <v>1.496437055</v>
      </c>
      <c r="W3" s="93">
        <f t="shared" si="3"/>
        <v>1.168646081</v>
      </c>
      <c r="X3" s="93">
        <f t="shared" si="3"/>
        <v>1.596199525</v>
      </c>
      <c r="Y3" s="93">
        <f t="shared" si="3"/>
        <v>1.410926366</v>
      </c>
      <c r="Z3" s="93">
        <f t="shared" si="3"/>
        <v>1.282660333</v>
      </c>
      <c r="AB3" s="79" t="s">
        <v>105</v>
      </c>
    </row>
    <row r="4" ht="15.75" customHeight="1">
      <c r="A4" s="82" t="s">
        <v>106</v>
      </c>
      <c r="B4" s="83">
        <v>301.0</v>
      </c>
      <c r="C4" s="84">
        <f t="shared" si="1"/>
        <v>0.8361111111</v>
      </c>
      <c r="D4" s="82" t="s">
        <v>107</v>
      </c>
      <c r="E4" s="90">
        <f t="shared" si="4"/>
        <v>0.5127768313</v>
      </c>
      <c r="F4" s="85">
        <f t="shared" si="2"/>
        <v>2552.840532</v>
      </c>
      <c r="K4" s="88">
        <f t="shared" ref="K4:K8" si="6">N4*12</f>
        <v>1004400</v>
      </c>
      <c r="L4" s="86" t="s">
        <v>108</v>
      </c>
      <c r="M4" s="80">
        <v>1.0</v>
      </c>
      <c r="N4" s="94">
        <f>AVERAGE(O4:Z4)</f>
        <v>83700</v>
      </c>
      <c r="O4" s="88">
        <f t="shared" ref="O4:Z4" si="5">O$3*$N$3*$M4</f>
        <v>21471.73397</v>
      </c>
      <c r="P4" s="88">
        <f t="shared" si="5"/>
        <v>45329.21615</v>
      </c>
      <c r="Q4" s="88">
        <f t="shared" si="5"/>
        <v>13121.6152</v>
      </c>
      <c r="R4" s="88">
        <f t="shared" si="5"/>
        <v>90658.4323</v>
      </c>
      <c r="S4" s="88">
        <f t="shared" si="5"/>
        <v>76343.94299</v>
      </c>
      <c r="T4" s="88">
        <f t="shared" si="5"/>
        <v>91851.30641</v>
      </c>
      <c r="U4" s="88">
        <f t="shared" si="5"/>
        <v>83501.18765</v>
      </c>
      <c r="V4" s="88">
        <f t="shared" si="5"/>
        <v>125251.7815</v>
      </c>
      <c r="W4" s="88">
        <f t="shared" si="5"/>
        <v>97815.67696</v>
      </c>
      <c r="X4" s="88">
        <f t="shared" si="5"/>
        <v>133601.9002</v>
      </c>
      <c r="Y4" s="88">
        <f t="shared" si="5"/>
        <v>118094.5368</v>
      </c>
      <c r="Z4" s="88">
        <f t="shared" si="5"/>
        <v>107358.6698</v>
      </c>
      <c r="AA4" s="89">
        <f t="shared" ref="AA4:AA8" si="8">SUM(O4:Z4)</f>
        <v>1004400</v>
      </c>
      <c r="AB4" s="88"/>
    </row>
    <row r="5" ht="15.75" customHeight="1">
      <c r="A5" s="82" t="s">
        <v>109</v>
      </c>
      <c r="B5" s="83">
        <v>290.0</v>
      </c>
      <c r="C5" s="84">
        <f t="shared" si="1"/>
        <v>0.8055555556</v>
      </c>
      <c r="D5" s="82" t="s">
        <v>110</v>
      </c>
      <c r="E5" s="90">
        <f t="shared" si="4"/>
        <v>0.9634551495</v>
      </c>
      <c r="F5" s="85">
        <f t="shared" si="2"/>
        <v>2649.672414</v>
      </c>
      <c r="K5" s="88">
        <f t="shared" si="6"/>
        <v>2008800</v>
      </c>
      <c r="L5" s="86" t="s">
        <v>108</v>
      </c>
      <c r="M5" s="80">
        <v>2.0</v>
      </c>
      <c r="N5" s="94">
        <f t="shared" ref="N5:N6" si="9">M5*N3</f>
        <v>167400</v>
      </c>
      <c r="O5" s="88">
        <f t="shared" ref="O5:Z5" si="7">O$3*$N$3*$M5</f>
        <v>42943.46793</v>
      </c>
      <c r="P5" s="88">
        <f t="shared" si="7"/>
        <v>90658.4323</v>
      </c>
      <c r="Q5" s="88">
        <f t="shared" si="7"/>
        <v>26243.2304</v>
      </c>
      <c r="R5" s="88">
        <f t="shared" si="7"/>
        <v>181316.8646</v>
      </c>
      <c r="S5" s="88">
        <f t="shared" si="7"/>
        <v>152687.886</v>
      </c>
      <c r="T5" s="88">
        <f t="shared" si="7"/>
        <v>183702.6128</v>
      </c>
      <c r="U5" s="88">
        <f t="shared" si="7"/>
        <v>167002.3753</v>
      </c>
      <c r="V5" s="88">
        <f t="shared" si="7"/>
        <v>250503.5629</v>
      </c>
      <c r="W5" s="88">
        <f t="shared" si="7"/>
        <v>195631.3539</v>
      </c>
      <c r="X5" s="88">
        <f t="shared" si="7"/>
        <v>267203.8005</v>
      </c>
      <c r="Y5" s="88">
        <f t="shared" si="7"/>
        <v>236189.0736</v>
      </c>
      <c r="Z5" s="88">
        <f t="shared" si="7"/>
        <v>214717.3397</v>
      </c>
      <c r="AA5" s="89">
        <f t="shared" si="8"/>
        <v>2008800</v>
      </c>
      <c r="AB5" s="88"/>
    </row>
    <row r="6" ht="18.75" customHeight="1">
      <c r="A6" s="82" t="s">
        <v>111</v>
      </c>
      <c r="B6" s="83">
        <f>103-6</f>
        <v>97</v>
      </c>
      <c r="C6" s="84">
        <f t="shared" si="1"/>
        <v>0.2694444444</v>
      </c>
      <c r="D6" s="82" t="s">
        <v>112</v>
      </c>
      <c r="E6" s="90">
        <f t="shared" si="4"/>
        <v>0.3344827586</v>
      </c>
      <c r="F6" s="85">
        <f t="shared" si="2"/>
        <v>7921.701031</v>
      </c>
      <c r="K6" s="89">
        <f t="shared" si="6"/>
        <v>2511000</v>
      </c>
      <c r="L6" s="95" t="s">
        <v>108</v>
      </c>
      <c r="M6" s="96">
        <v>2.5</v>
      </c>
      <c r="N6" s="97">
        <f t="shared" si="9"/>
        <v>209250</v>
      </c>
      <c r="O6" s="89">
        <f t="shared" ref="O6:Z6" si="10">O$3*$N$3*$M6</f>
        <v>53679.33492</v>
      </c>
      <c r="P6" s="89">
        <f t="shared" si="10"/>
        <v>113323.0404</v>
      </c>
      <c r="Q6" s="89">
        <f t="shared" si="10"/>
        <v>32804.038</v>
      </c>
      <c r="R6" s="89">
        <f t="shared" si="10"/>
        <v>226646.0808</v>
      </c>
      <c r="S6" s="89">
        <f t="shared" si="10"/>
        <v>190859.8575</v>
      </c>
      <c r="T6" s="89">
        <f t="shared" si="10"/>
        <v>229628.266</v>
      </c>
      <c r="U6" s="89">
        <f t="shared" si="10"/>
        <v>208752.9691</v>
      </c>
      <c r="V6" s="89">
        <f t="shared" si="10"/>
        <v>313129.4537</v>
      </c>
      <c r="W6" s="89">
        <f t="shared" si="10"/>
        <v>244539.1924</v>
      </c>
      <c r="X6" s="89">
        <f t="shared" si="10"/>
        <v>334004.7506</v>
      </c>
      <c r="Y6" s="89">
        <f t="shared" si="10"/>
        <v>295236.342</v>
      </c>
      <c r="Z6" s="89">
        <f t="shared" si="10"/>
        <v>268396.6746</v>
      </c>
      <c r="AA6" s="89">
        <f t="shared" si="8"/>
        <v>2511000</v>
      </c>
    </row>
    <row r="7" ht="15.75" customHeight="1">
      <c r="A7" s="82" t="s">
        <v>113</v>
      </c>
      <c r="B7" s="83">
        <v>21.0</v>
      </c>
      <c r="C7" s="84">
        <f t="shared" si="1"/>
        <v>0.05833333333</v>
      </c>
      <c r="D7" s="82" t="s">
        <v>114</v>
      </c>
      <c r="E7" s="90">
        <f t="shared" si="4"/>
        <v>0.2164948454</v>
      </c>
      <c r="F7" s="85">
        <f t="shared" si="2"/>
        <v>36590.71429</v>
      </c>
      <c r="K7" s="88">
        <f t="shared" si="6"/>
        <v>3013200</v>
      </c>
      <c r="L7" s="86" t="s">
        <v>108</v>
      </c>
      <c r="M7" s="80">
        <v>3.0</v>
      </c>
      <c r="N7" s="94">
        <f>M7*N3</f>
        <v>251100</v>
      </c>
      <c r="O7" s="88">
        <f t="shared" ref="O7:Z7" si="11">O$3*$N$3*$M7</f>
        <v>64415.2019</v>
      </c>
      <c r="P7" s="88">
        <f t="shared" si="11"/>
        <v>135987.6485</v>
      </c>
      <c r="Q7" s="88">
        <f t="shared" si="11"/>
        <v>39364.84561</v>
      </c>
      <c r="R7" s="88">
        <f t="shared" si="11"/>
        <v>271975.2969</v>
      </c>
      <c r="S7" s="88">
        <f t="shared" si="11"/>
        <v>229031.829</v>
      </c>
      <c r="T7" s="88">
        <f t="shared" si="11"/>
        <v>275553.9192</v>
      </c>
      <c r="U7" s="88">
        <f t="shared" si="11"/>
        <v>250503.5629</v>
      </c>
      <c r="V7" s="88">
        <f t="shared" si="11"/>
        <v>375755.3444</v>
      </c>
      <c r="W7" s="88">
        <f t="shared" si="11"/>
        <v>293447.0309</v>
      </c>
      <c r="X7" s="88">
        <f t="shared" si="11"/>
        <v>400805.7007</v>
      </c>
      <c r="Y7" s="88">
        <f t="shared" si="11"/>
        <v>354283.6105</v>
      </c>
      <c r="Z7" s="88">
        <f t="shared" si="11"/>
        <v>322076.0095</v>
      </c>
      <c r="AA7" s="89">
        <f t="shared" si="8"/>
        <v>3013200</v>
      </c>
    </row>
    <row r="8" ht="15.75" customHeight="1">
      <c r="A8" s="82" t="s">
        <v>115</v>
      </c>
      <c r="B8" s="83">
        <v>12.0</v>
      </c>
      <c r="C8" s="84"/>
      <c r="D8" s="98"/>
      <c r="E8" s="80"/>
      <c r="F8" s="85">
        <f t="shared" si="2"/>
        <v>64033.75</v>
      </c>
      <c r="K8" s="88">
        <f t="shared" si="6"/>
        <v>4017600</v>
      </c>
      <c r="L8" s="86" t="s">
        <v>108</v>
      </c>
      <c r="M8" s="80">
        <v>4.0</v>
      </c>
      <c r="N8" s="94">
        <f>M8*N3</f>
        <v>334800</v>
      </c>
      <c r="O8" s="88">
        <f t="shared" ref="O8:Z8" si="12">O$3*$N$3*$M8</f>
        <v>85886.93587</v>
      </c>
      <c r="P8" s="88">
        <f t="shared" si="12"/>
        <v>181316.8646</v>
      </c>
      <c r="Q8" s="88">
        <f t="shared" si="12"/>
        <v>52486.46081</v>
      </c>
      <c r="R8" s="88">
        <f t="shared" si="12"/>
        <v>362633.7292</v>
      </c>
      <c r="S8" s="88">
        <f t="shared" si="12"/>
        <v>305375.772</v>
      </c>
      <c r="T8" s="88">
        <f t="shared" si="12"/>
        <v>367405.2257</v>
      </c>
      <c r="U8" s="88">
        <f t="shared" si="12"/>
        <v>334004.7506</v>
      </c>
      <c r="V8" s="88">
        <f t="shared" si="12"/>
        <v>501007.1259</v>
      </c>
      <c r="W8" s="88">
        <f t="shared" si="12"/>
        <v>391262.7078</v>
      </c>
      <c r="X8" s="88">
        <f t="shared" si="12"/>
        <v>534407.601</v>
      </c>
      <c r="Y8" s="88">
        <f t="shared" si="12"/>
        <v>472378.1473</v>
      </c>
      <c r="Z8" s="88">
        <f t="shared" si="12"/>
        <v>429434.6793</v>
      </c>
      <c r="AA8" s="89">
        <f t="shared" si="8"/>
        <v>4017600</v>
      </c>
    </row>
    <row r="9" ht="15.75" customHeight="1">
      <c r="A9" s="82" t="s">
        <v>116</v>
      </c>
      <c r="B9" s="99">
        <f>B6/B8</f>
        <v>8.083333333</v>
      </c>
      <c r="C9" s="84"/>
      <c r="D9" s="98"/>
      <c r="E9" s="80"/>
      <c r="F9" s="85">
        <f t="shared" si="2"/>
        <v>95060.41237</v>
      </c>
    </row>
    <row r="10" ht="15.75" customHeight="1">
      <c r="A10" s="82" t="s">
        <v>117</v>
      </c>
      <c r="B10" s="100">
        <f>2533162.95-130000</f>
        <v>2403162.95</v>
      </c>
      <c r="C10" s="101">
        <f>B10/($B$8*(365/12))</f>
        <v>6584.008082</v>
      </c>
      <c r="D10" s="102"/>
      <c r="E10" s="80"/>
      <c r="F10" s="85">
        <f>E11*B10</f>
        <v>768405</v>
      </c>
    </row>
    <row r="11" ht="15.75" customHeight="1">
      <c r="A11" s="82" t="s">
        <v>118</v>
      </c>
      <c r="B11" s="100">
        <v>768405.0</v>
      </c>
      <c r="C11" s="101">
        <f t="shared" ref="C11:C13" si="13">B11/($B$8*365/12)</f>
        <v>2105.219178</v>
      </c>
      <c r="D11" s="102" t="s">
        <v>119</v>
      </c>
      <c r="E11" s="90">
        <f>B11/B10</f>
        <v>0.3197473563</v>
      </c>
      <c r="F11" s="85"/>
      <c r="L11" s="88">
        <f>N7/8000</f>
        <v>31.3875</v>
      </c>
    </row>
    <row r="12" ht="15.75" customHeight="1">
      <c r="A12" s="82" t="s">
        <v>120</v>
      </c>
      <c r="B12" s="87">
        <v>301.0</v>
      </c>
      <c r="C12" s="103">
        <f t="shared" si="13"/>
        <v>0.8246575342</v>
      </c>
      <c r="D12" s="82"/>
      <c r="F12" s="104"/>
      <c r="L12" s="79">
        <f>L11*3</f>
        <v>94.1625</v>
      </c>
    </row>
    <row r="13" ht="15.75" customHeight="1">
      <c r="A13" s="105" t="s">
        <v>121</v>
      </c>
      <c r="B13" s="106">
        <f>B6</f>
        <v>97</v>
      </c>
      <c r="C13" s="107">
        <f t="shared" si="13"/>
        <v>0.2657534247</v>
      </c>
      <c r="D13" s="108" t="s">
        <v>122</v>
      </c>
      <c r="E13" s="109">
        <f>B13/B12</f>
        <v>0.3222591362</v>
      </c>
      <c r="F13" s="110"/>
      <c r="L13" s="79">
        <f>L12*2</f>
        <v>188.325</v>
      </c>
      <c r="N13" s="79" t="s">
        <v>123</v>
      </c>
      <c r="O13" s="88">
        <v>86000.0</v>
      </c>
      <c r="P13" s="88">
        <v>103000.0</v>
      </c>
      <c r="Q13" s="88">
        <v>82000.0</v>
      </c>
      <c r="R13" s="88">
        <v>200000.0</v>
      </c>
      <c r="S13" s="88">
        <v>153000.0</v>
      </c>
      <c r="T13" s="88">
        <v>143000.0</v>
      </c>
      <c r="U13" s="88">
        <v>268000.0</v>
      </c>
      <c r="V13" s="88">
        <v>335000.0</v>
      </c>
      <c r="W13" s="88">
        <v>295000.0</v>
      </c>
      <c r="X13" s="88">
        <v>232000.0</v>
      </c>
      <c r="Y13" s="88">
        <v>203000.0</v>
      </c>
      <c r="Z13" s="88">
        <v>200000.0</v>
      </c>
      <c r="AA13" s="88">
        <f>SUM(O13:Z13)</f>
        <v>2300000</v>
      </c>
    </row>
    <row r="14" ht="15.75" customHeight="1"/>
    <row r="15" ht="15.75" customHeight="1">
      <c r="A15" s="111" t="s">
        <v>124</v>
      </c>
      <c r="B15" s="112"/>
      <c r="C15" s="113" t="s">
        <v>125</v>
      </c>
      <c r="D15" s="114" t="s">
        <v>126</v>
      </c>
      <c r="E15" s="115" t="s">
        <v>127</v>
      </c>
      <c r="F15" s="116"/>
      <c r="G15" s="117" t="s">
        <v>128</v>
      </c>
      <c r="H15" s="118" t="s">
        <v>129</v>
      </c>
      <c r="I15" s="119" t="s">
        <v>130</v>
      </c>
      <c r="L15" s="79">
        <v>5000.0</v>
      </c>
      <c r="N15" s="79" t="s">
        <v>131</v>
      </c>
      <c r="O15" s="88">
        <v>18000.0</v>
      </c>
      <c r="P15" s="88">
        <v>38000.0</v>
      </c>
      <c r="Q15" s="88">
        <v>11000.0</v>
      </c>
      <c r="R15" s="88">
        <v>76000.0</v>
      </c>
      <c r="S15" s="88">
        <v>64000.0</v>
      </c>
      <c r="T15" s="88">
        <v>77000.0</v>
      </c>
      <c r="U15" s="88">
        <v>70000.0</v>
      </c>
      <c r="V15" s="88">
        <v>105000.0</v>
      </c>
      <c r="W15" s="88">
        <v>82000.0</v>
      </c>
      <c r="X15" s="88">
        <v>112000.0</v>
      </c>
      <c r="Y15" s="88">
        <v>99000.0</v>
      </c>
      <c r="Z15" s="88">
        <v>90000.0</v>
      </c>
      <c r="AA15" s="89">
        <f>SUM(O15:Z15)</f>
        <v>842000</v>
      </c>
    </row>
    <row r="16" ht="15.75" customHeight="1">
      <c r="A16" s="120" t="s">
        <v>132</v>
      </c>
      <c r="B16" s="121">
        <v>2.0</v>
      </c>
      <c r="C16" s="122">
        <v>1.0</v>
      </c>
      <c r="D16" s="123">
        <v>1.0</v>
      </c>
      <c r="E16" s="124" t="s">
        <v>133</v>
      </c>
      <c r="F16" s="125">
        <f t="shared" ref="F16:F17" si="14">D16*B16</f>
        <v>2</v>
      </c>
      <c r="G16" s="120" t="s">
        <v>99</v>
      </c>
      <c r="H16" s="126">
        <v>2.0</v>
      </c>
      <c r="I16" s="127"/>
      <c r="L16" s="128">
        <f>L13/L15</f>
        <v>0.037665</v>
      </c>
      <c r="N16" s="79" t="s">
        <v>134</v>
      </c>
      <c r="O16" s="88">
        <v>20000.0</v>
      </c>
      <c r="P16" s="88">
        <v>23000.0</v>
      </c>
      <c r="Q16" s="88">
        <v>10000.0</v>
      </c>
      <c r="R16" s="88">
        <v>20000.0</v>
      </c>
      <c r="S16" s="88">
        <v>38000.0</v>
      </c>
      <c r="T16" s="88">
        <v>34000.0</v>
      </c>
      <c r="U16" s="88">
        <v>53000.0</v>
      </c>
      <c r="V16" s="88">
        <v>71000.0</v>
      </c>
      <c r="W16" s="88">
        <v>66000.0</v>
      </c>
      <c r="X16" s="88">
        <v>83000.0</v>
      </c>
      <c r="Y16" s="88">
        <v>83000.0</v>
      </c>
      <c r="Z16" s="88">
        <v>75000.0</v>
      </c>
    </row>
    <row r="17" ht="15.75" customHeight="1">
      <c r="A17" s="82" t="s">
        <v>135</v>
      </c>
      <c r="B17" s="99">
        <f t="shared" ref="B17:B22" si="15">B2/($B$8*$B$16)</f>
        <v>50</v>
      </c>
      <c r="C17" s="129">
        <v>1.0</v>
      </c>
      <c r="D17" s="130">
        <v>3.2</v>
      </c>
      <c r="E17" s="131" t="s">
        <v>136</v>
      </c>
      <c r="F17" s="132">
        <f t="shared" si="14"/>
        <v>160</v>
      </c>
      <c r="G17" s="82" t="s">
        <v>137</v>
      </c>
      <c r="H17" s="133">
        <f t="shared" ref="H17:H22" si="16">F17*$H$16</f>
        <v>320</v>
      </c>
      <c r="I17" s="134">
        <f t="shared" ref="I17:I23" si="17">H17*12</f>
        <v>3840</v>
      </c>
      <c r="L17" s="135"/>
    </row>
    <row r="18" ht="15.75" customHeight="1">
      <c r="A18" s="136" t="s">
        <v>138</v>
      </c>
      <c r="B18" s="99">
        <f t="shared" si="15"/>
        <v>24.45833333</v>
      </c>
      <c r="C18" s="129">
        <v>0.4891666666666667</v>
      </c>
      <c r="D18" s="90">
        <f t="shared" ref="D18:D22" si="18">E3</f>
        <v>0.4891666667</v>
      </c>
      <c r="E18" s="79" t="s">
        <v>101</v>
      </c>
      <c r="F18" s="137">
        <f t="shared" ref="F18:F22" si="19">F17*D18</f>
        <v>78.26666667</v>
      </c>
      <c r="G18" s="82" t="s">
        <v>100</v>
      </c>
      <c r="H18" s="133">
        <f t="shared" si="16"/>
        <v>156.5333333</v>
      </c>
      <c r="I18" s="134">
        <f t="shared" si="17"/>
        <v>1878.4</v>
      </c>
    </row>
    <row r="19" ht="15.75" customHeight="1">
      <c r="A19" s="82" t="s">
        <v>139</v>
      </c>
      <c r="B19" s="99">
        <f t="shared" si="15"/>
        <v>12.54166667</v>
      </c>
      <c r="C19" s="129">
        <v>0.5127768313458262</v>
      </c>
      <c r="D19" s="90">
        <f t="shared" si="18"/>
        <v>0.5127768313</v>
      </c>
      <c r="E19" s="79" t="s">
        <v>107</v>
      </c>
      <c r="F19" s="137">
        <f t="shared" si="19"/>
        <v>40.13333333</v>
      </c>
      <c r="G19" s="82" t="s">
        <v>106</v>
      </c>
      <c r="H19" s="133">
        <f t="shared" si="16"/>
        <v>80.26666667</v>
      </c>
      <c r="I19" s="134">
        <f t="shared" si="17"/>
        <v>963.2</v>
      </c>
    </row>
    <row r="20" ht="15.75" customHeight="1">
      <c r="A20" s="82" t="s">
        <v>140</v>
      </c>
      <c r="B20" s="99">
        <f t="shared" si="15"/>
        <v>12.08333333</v>
      </c>
      <c r="C20" s="129">
        <v>0.9634551495016611</v>
      </c>
      <c r="D20" s="90">
        <f t="shared" si="18"/>
        <v>0.9634551495</v>
      </c>
      <c r="E20" s="79" t="s">
        <v>110</v>
      </c>
      <c r="F20" s="137">
        <f t="shared" si="19"/>
        <v>38.66666667</v>
      </c>
      <c r="G20" s="82" t="s">
        <v>141</v>
      </c>
      <c r="H20" s="133">
        <f t="shared" si="16"/>
        <v>77.33333333</v>
      </c>
      <c r="I20" s="134">
        <f t="shared" si="17"/>
        <v>928</v>
      </c>
    </row>
    <row r="21" ht="15.75" customHeight="1">
      <c r="A21" s="82" t="s">
        <v>142</v>
      </c>
      <c r="B21" s="99">
        <f t="shared" si="15"/>
        <v>4.041666667</v>
      </c>
      <c r="C21" s="129">
        <v>0.33448275862068966</v>
      </c>
      <c r="D21" s="90">
        <f t="shared" si="18"/>
        <v>0.3344827586</v>
      </c>
      <c r="E21" s="79" t="s">
        <v>112</v>
      </c>
      <c r="F21" s="137">
        <f t="shared" si="19"/>
        <v>12.93333333</v>
      </c>
      <c r="G21" s="82" t="s">
        <v>111</v>
      </c>
      <c r="H21" s="133">
        <f t="shared" si="16"/>
        <v>25.86666667</v>
      </c>
      <c r="I21" s="134">
        <f t="shared" si="17"/>
        <v>310.4</v>
      </c>
    </row>
    <row r="22" ht="15.75" customHeight="1">
      <c r="A22" s="82" t="s">
        <v>143</v>
      </c>
      <c r="B22" s="99">
        <f t="shared" si="15"/>
        <v>0.875</v>
      </c>
      <c r="C22" s="129">
        <v>0.21649484536082475</v>
      </c>
      <c r="D22" s="90">
        <f t="shared" si="18"/>
        <v>0.2164948454</v>
      </c>
      <c r="E22" s="79" t="s">
        <v>114</v>
      </c>
      <c r="F22" s="137">
        <f t="shared" si="19"/>
        <v>2.8</v>
      </c>
      <c r="G22" s="105" t="s">
        <v>113</v>
      </c>
      <c r="H22" s="138">
        <f t="shared" si="16"/>
        <v>5.6</v>
      </c>
      <c r="I22" s="139">
        <f t="shared" si="17"/>
        <v>67.2</v>
      </c>
    </row>
    <row r="23" ht="15.75" customHeight="1">
      <c r="A23" s="82" t="s">
        <v>117</v>
      </c>
      <c r="B23" s="140">
        <f t="shared" ref="B23:B26" si="20">B10/($B$8*$B$16)</f>
        <v>100131.7896</v>
      </c>
      <c r="C23" s="129">
        <v>1.0</v>
      </c>
      <c r="D23" s="130">
        <f t="shared" ref="D23:D24" si="21">B12/$B$4</f>
        <v>1</v>
      </c>
      <c r="E23" s="79" t="s">
        <v>144</v>
      </c>
      <c r="F23" s="141">
        <f>D23*B25</f>
        <v>12.54166667</v>
      </c>
      <c r="G23" s="142" t="s">
        <v>145</v>
      </c>
      <c r="H23" s="143">
        <f>F27*F26*H16</f>
        <v>196035.6948</v>
      </c>
      <c r="I23" s="144">
        <f t="shared" si="17"/>
        <v>2352428.338</v>
      </c>
    </row>
    <row r="24" ht="15.75" customHeight="1">
      <c r="A24" s="82" t="s">
        <v>118</v>
      </c>
      <c r="B24" s="140">
        <f t="shared" si="20"/>
        <v>32016.875</v>
      </c>
      <c r="C24" s="129">
        <v>0.3222591362126246</v>
      </c>
      <c r="D24" s="130">
        <f t="shared" si="21"/>
        <v>0.3222591362</v>
      </c>
      <c r="E24" s="79" t="s">
        <v>146</v>
      </c>
      <c r="F24" s="141">
        <f>D24*F23</f>
        <v>4.041666667</v>
      </c>
      <c r="H24" s="133"/>
    </row>
    <row r="25" ht="15.75" customHeight="1">
      <c r="A25" s="82" t="s">
        <v>147</v>
      </c>
      <c r="B25" s="99">
        <f t="shared" si="20"/>
        <v>12.54166667</v>
      </c>
      <c r="C25" s="129">
        <v>1.0</v>
      </c>
      <c r="D25" s="90">
        <v>1.0</v>
      </c>
      <c r="E25" s="79" t="s">
        <v>148</v>
      </c>
      <c r="F25" s="137">
        <f>F20</f>
        <v>38.66666667</v>
      </c>
      <c r="H25" s="80"/>
    </row>
    <row r="26" ht="15.75" customHeight="1">
      <c r="A26" s="82" t="s">
        <v>149</v>
      </c>
      <c r="B26" s="99">
        <f t="shared" si="20"/>
        <v>4.041666667</v>
      </c>
      <c r="C26" s="129">
        <f>E13</f>
        <v>0.3222591362</v>
      </c>
      <c r="D26" s="90">
        <v>0.32</v>
      </c>
      <c r="E26" s="79" t="s">
        <v>150</v>
      </c>
      <c r="F26" s="137">
        <f>D26*F25</f>
        <v>12.37333333</v>
      </c>
      <c r="H26" s="80"/>
    </row>
    <row r="27" ht="15.75" customHeight="1">
      <c r="A27" s="105" t="s">
        <v>151</v>
      </c>
      <c r="B27" s="145">
        <f>B24/B26</f>
        <v>7921.701031</v>
      </c>
      <c r="C27" s="146">
        <v>1.0</v>
      </c>
      <c r="D27" s="147">
        <v>1.0</v>
      </c>
      <c r="E27" s="148" t="s">
        <v>152</v>
      </c>
      <c r="F27" s="149">
        <f>D27*B27</f>
        <v>7921.701031</v>
      </c>
      <c r="H27" s="80"/>
    </row>
    <row r="28" ht="15.75" customHeight="1">
      <c r="E28" s="111" t="s">
        <v>153</v>
      </c>
      <c r="F28" s="150">
        <f>F27*F26</f>
        <v>98017.84742</v>
      </c>
    </row>
    <row r="29" ht="15.75" customHeight="1"/>
    <row r="30" ht="15.75" customHeight="1">
      <c r="A30" s="151" t="s">
        <v>154</v>
      </c>
      <c r="B30" s="152" t="s">
        <v>155</v>
      </c>
      <c r="C30" s="153" t="s">
        <v>156</v>
      </c>
    </row>
    <row r="31" ht="15.75" customHeight="1">
      <c r="A31" s="82" t="s">
        <v>151</v>
      </c>
      <c r="B31" s="154">
        <f>F27</f>
        <v>7921.701031</v>
      </c>
      <c r="C31" s="155">
        <v>1.0</v>
      </c>
    </row>
    <row r="32" ht="15.75" customHeight="1">
      <c r="A32" s="82" t="s">
        <v>157</v>
      </c>
      <c r="B32" s="154">
        <f>C32*B31</f>
        <v>1267.472165</v>
      </c>
      <c r="C32" s="155">
        <v>0.16</v>
      </c>
    </row>
    <row r="33" ht="15.75" customHeight="1">
      <c r="A33" s="82" t="s">
        <v>158</v>
      </c>
      <c r="B33" s="88">
        <f>B31*C33</f>
        <v>3168.680412</v>
      </c>
      <c r="C33" s="155">
        <v>0.4</v>
      </c>
    </row>
    <row r="34" ht="15.75" customHeight="1">
      <c r="A34" s="82" t="s">
        <v>159</v>
      </c>
      <c r="B34" s="88">
        <f>C34*B31</f>
        <v>792.1701031</v>
      </c>
      <c r="C34" s="155">
        <v>0.1</v>
      </c>
    </row>
    <row r="35" ht="15.75" customHeight="1">
      <c r="A35" s="82" t="s">
        <v>160</v>
      </c>
      <c r="B35" s="88">
        <f>C35*B31</f>
        <v>396.0850515</v>
      </c>
      <c r="C35" s="155">
        <v>0.05</v>
      </c>
    </row>
    <row r="36" ht="15.75" customHeight="1">
      <c r="A36" s="111" t="s">
        <v>28</v>
      </c>
      <c r="B36" s="156">
        <f>B31-B32-B33-B34-B35</f>
        <v>2297.293299</v>
      </c>
      <c r="C36" s="157">
        <f>B36/B31</f>
        <v>0.29</v>
      </c>
    </row>
    <row r="37" ht="15.75" customHeight="1">
      <c r="A37" s="136" t="s">
        <v>161</v>
      </c>
      <c r="B37" s="158">
        <f>B36/4</f>
        <v>574.3233247</v>
      </c>
      <c r="C37" s="159"/>
    </row>
    <row r="38" ht="15.75" customHeight="1">
      <c r="A38" s="82"/>
      <c r="B38" s="83"/>
    </row>
    <row r="39" ht="15.75" customHeight="1"/>
    <row r="40" ht="15.75" customHeight="1">
      <c r="A40" s="151" t="s">
        <v>162</v>
      </c>
      <c r="B40" s="160">
        <f>SUM(B41:B48)</f>
        <v>15000</v>
      </c>
      <c r="C40" s="153" t="s">
        <v>40</v>
      </c>
    </row>
    <row r="41" ht="15.75" customHeight="1">
      <c r="A41" s="120" t="s">
        <v>163</v>
      </c>
      <c r="B41" s="161">
        <v>10000.0</v>
      </c>
      <c r="C41" s="162"/>
      <c r="E41" s="79">
        <f>10*30*12</f>
        <v>3600</v>
      </c>
    </row>
    <row r="42" ht="15.75" customHeight="1">
      <c r="A42" s="82" t="s">
        <v>164</v>
      </c>
      <c r="B42" s="154">
        <v>5000.0</v>
      </c>
      <c r="C42" s="155"/>
      <c r="E42" s="79">
        <f>11*0.5*1500</f>
        <v>8250</v>
      </c>
    </row>
    <row r="43" ht="15.75" customHeight="1">
      <c r="A43" s="82" t="s">
        <v>104</v>
      </c>
      <c r="B43" s="88">
        <f t="shared" ref="B43:B44" si="22">B41*C43</f>
        <v>0</v>
      </c>
      <c r="C43" s="155"/>
      <c r="E43" s="79">
        <v>3000.0</v>
      </c>
    </row>
    <row r="44" ht="15.75" customHeight="1">
      <c r="A44" s="82" t="s">
        <v>104</v>
      </c>
      <c r="B44" s="88">
        <f t="shared" si="22"/>
        <v>0</v>
      </c>
      <c r="C44" s="104"/>
    </row>
    <row r="45" ht="15.75" customHeight="1">
      <c r="A45" s="82"/>
      <c r="C45" s="104"/>
    </row>
    <row r="46" ht="15.75" customHeight="1">
      <c r="A46" s="82"/>
      <c r="C46" s="104"/>
    </row>
    <row r="47" ht="15.75" customHeight="1">
      <c r="A47" s="82"/>
      <c r="C47" s="104"/>
    </row>
    <row r="48" ht="15.75" customHeight="1">
      <c r="A48" s="105"/>
      <c r="B48" s="148"/>
      <c r="C48" s="110"/>
    </row>
    <row r="49" ht="15.75" customHeight="1"/>
    <row r="50" ht="15.75" customHeight="1"/>
    <row r="51" ht="15.75" customHeight="1">
      <c r="B51" s="87" t="s">
        <v>165</v>
      </c>
      <c r="D51" s="79" t="s">
        <v>166</v>
      </c>
      <c r="H51" s="79" t="s">
        <v>167</v>
      </c>
    </row>
    <row r="52" ht="15.75" customHeight="1">
      <c r="A52" s="163" t="s">
        <v>168</v>
      </c>
      <c r="B52" s="154" t="s">
        <v>156</v>
      </c>
      <c r="C52" s="90" t="s">
        <v>169</v>
      </c>
      <c r="D52" s="79" t="s">
        <v>170</v>
      </c>
      <c r="E52" s="79" t="s">
        <v>171</v>
      </c>
      <c r="F52" s="79" t="s">
        <v>172</v>
      </c>
      <c r="G52" s="79" t="s">
        <v>173</v>
      </c>
    </row>
    <row r="53" ht="15.75" customHeight="1">
      <c r="A53" s="164" t="s">
        <v>174</v>
      </c>
      <c r="B53" s="90">
        <v>0.68</v>
      </c>
      <c r="C53" s="80">
        <f>3*4.28</f>
        <v>12.84</v>
      </c>
      <c r="D53" s="87">
        <v>22.0</v>
      </c>
      <c r="F53" s="88">
        <f t="shared" ref="F53:F55" si="23">H53*(1-B53)</f>
        <v>2560</v>
      </c>
      <c r="H53" s="79">
        <v>8000.0</v>
      </c>
    </row>
    <row r="54" ht="15.75" customHeight="1">
      <c r="A54" s="164" t="s">
        <v>175</v>
      </c>
      <c r="B54" s="90">
        <v>0.65</v>
      </c>
      <c r="C54" s="80">
        <v>4.0</v>
      </c>
      <c r="D54" s="87">
        <v>8.0</v>
      </c>
      <c r="F54" s="88">
        <f t="shared" si="23"/>
        <v>1750</v>
      </c>
      <c r="H54" s="79">
        <v>5000.0</v>
      </c>
    </row>
    <row r="55" ht="15.75" customHeight="1">
      <c r="A55" s="164" t="s">
        <v>176</v>
      </c>
      <c r="B55" s="130">
        <v>0.62</v>
      </c>
      <c r="C55" s="80">
        <v>4.0</v>
      </c>
      <c r="D55" s="87">
        <v>10.0</v>
      </c>
      <c r="F55" s="88">
        <f t="shared" si="23"/>
        <v>2660</v>
      </c>
      <c r="H55" s="79">
        <v>7000.0</v>
      </c>
    </row>
    <row r="56" ht="15.75" customHeight="1">
      <c r="C56" s="80"/>
    </row>
    <row r="57" ht="15.75" customHeight="1">
      <c r="B57" s="79">
        <v>1500.0</v>
      </c>
      <c r="C57" s="80"/>
    </row>
    <row r="58" ht="15.75" customHeight="1">
      <c r="C58" s="65">
        <f>30*10000*10%</f>
        <v>30000</v>
      </c>
    </row>
    <row r="59" ht="15.75" customHeight="1"/>
    <row r="60" ht="15.75" customHeight="1"/>
    <row r="61" ht="15.75" customHeight="1"/>
    <row r="62" ht="15.75" customHeight="1">
      <c r="A62" s="151" t="s">
        <v>177</v>
      </c>
      <c r="B62" s="165" t="s">
        <v>178</v>
      </c>
      <c r="C62" s="165" t="s">
        <v>179</v>
      </c>
      <c r="D62" s="165" t="s">
        <v>180</v>
      </c>
      <c r="E62" s="166" t="s">
        <v>181</v>
      </c>
    </row>
    <row r="63" ht="15.75" customHeight="1">
      <c r="A63" s="167" t="s">
        <v>182</v>
      </c>
      <c r="B63" s="168">
        <v>6100.0</v>
      </c>
      <c r="C63" s="169">
        <v>7000.0</v>
      </c>
      <c r="D63" s="169">
        <v>8500.0</v>
      </c>
      <c r="E63" s="170">
        <v>10000.0</v>
      </c>
    </row>
    <row r="64" ht="15.75" customHeight="1">
      <c r="A64" s="171" t="s">
        <v>183</v>
      </c>
      <c r="B64" s="168">
        <v>3000.0</v>
      </c>
      <c r="C64" s="169">
        <v>6000.0</v>
      </c>
      <c r="D64" s="154">
        <f t="shared" ref="D64:D65" si="24">C64</f>
        <v>6000</v>
      </c>
      <c r="E64" s="170">
        <v>6000.0</v>
      </c>
    </row>
    <row r="65" ht="15.75" customHeight="1">
      <c r="A65" s="171" t="s">
        <v>184</v>
      </c>
      <c r="B65" s="168">
        <v>1700.0</v>
      </c>
      <c r="C65" s="169">
        <v>5000.0</v>
      </c>
      <c r="D65" s="154">
        <f t="shared" si="24"/>
        <v>5000</v>
      </c>
      <c r="E65" s="170">
        <v>5000.0</v>
      </c>
      <c r="N65" s="80" t="s">
        <v>185</v>
      </c>
    </row>
    <row r="66" ht="15.75" customHeight="1">
      <c r="A66" s="167" t="s">
        <v>186</v>
      </c>
      <c r="B66" s="172">
        <v>4000.0</v>
      </c>
      <c r="C66" s="169">
        <v>4000.0</v>
      </c>
      <c r="D66" s="169">
        <v>6000.0</v>
      </c>
      <c r="E66" s="170">
        <v>14000.0</v>
      </c>
    </row>
    <row r="67" ht="15.75" customHeight="1">
      <c r="A67" s="167" t="s">
        <v>187</v>
      </c>
      <c r="B67" s="172">
        <v>3500.0</v>
      </c>
      <c r="C67" s="154">
        <f t="shared" ref="C67:C68" si="25">B67</f>
        <v>3500</v>
      </c>
      <c r="D67" s="169">
        <v>5000.0</v>
      </c>
      <c r="E67" s="170">
        <v>10000.0</v>
      </c>
    </row>
    <row r="68" ht="15.75" customHeight="1">
      <c r="A68" s="167" t="s">
        <v>188</v>
      </c>
      <c r="B68" s="172">
        <v>4500.0</v>
      </c>
      <c r="C68" s="154">
        <f t="shared" si="25"/>
        <v>4500</v>
      </c>
      <c r="D68" s="169">
        <v>6500.0</v>
      </c>
      <c r="E68" s="170">
        <v>10000.0</v>
      </c>
    </row>
    <row r="69" ht="15.75" customHeight="1">
      <c r="A69" s="167" t="s">
        <v>189</v>
      </c>
      <c r="B69" s="172">
        <v>1500.0</v>
      </c>
      <c r="C69" s="169">
        <v>3200.0</v>
      </c>
      <c r="D69" s="169">
        <v>5500.0</v>
      </c>
      <c r="E69" s="170">
        <v>7500.0</v>
      </c>
    </row>
    <row r="70" ht="15.75" customHeight="1">
      <c r="A70" s="167" t="s">
        <v>190</v>
      </c>
      <c r="B70" s="172">
        <v>5100.0</v>
      </c>
      <c r="C70" s="154">
        <f t="shared" ref="C70:D70" si="26">B70</f>
        <v>5100</v>
      </c>
      <c r="D70" s="154">
        <f t="shared" si="26"/>
        <v>5100</v>
      </c>
      <c r="E70" s="170">
        <v>6000.0</v>
      </c>
    </row>
    <row r="71" ht="15.75" customHeight="1">
      <c r="A71" s="167" t="s">
        <v>191</v>
      </c>
      <c r="B71" s="172">
        <v>2500.0</v>
      </c>
      <c r="C71" s="169">
        <v>2500.0</v>
      </c>
      <c r="D71" s="169">
        <v>3500.0</v>
      </c>
      <c r="E71" s="170">
        <v>4500.0</v>
      </c>
    </row>
    <row r="72" ht="15.75" customHeight="1">
      <c r="A72" s="167" t="s">
        <v>192</v>
      </c>
      <c r="B72" s="172">
        <v>2500.0</v>
      </c>
      <c r="C72" s="169">
        <v>2500.0</v>
      </c>
      <c r="D72" s="169">
        <v>3500.0</v>
      </c>
      <c r="E72" s="170">
        <v>4500.0</v>
      </c>
    </row>
    <row r="73" ht="15.75" customHeight="1">
      <c r="A73" s="167" t="s">
        <v>193</v>
      </c>
      <c r="B73" s="172">
        <v>1000.0</v>
      </c>
      <c r="C73" s="169">
        <v>1500.0</v>
      </c>
      <c r="D73" s="169">
        <v>1500.0</v>
      </c>
      <c r="E73" s="170">
        <v>2000.0</v>
      </c>
    </row>
    <row r="74" ht="15.75" customHeight="1">
      <c r="A74" s="167" t="s">
        <v>194</v>
      </c>
      <c r="B74" s="172">
        <v>1000.0</v>
      </c>
      <c r="C74" s="169">
        <v>1300.0</v>
      </c>
      <c r="D74" s="169">
        <v>1500.0</v>
      </c>
      <c r="E74" s="170">
        <v>2000.0</v>
      </c>
    </row>
    <row r="75" ht="15.75" customHeight="1">
      <c r="A75" s="173" t="s">
        <v>195</v>
      </c>
      <c r="B75" s="172">
        <v>1000.0</v>
      </c>
      <c r="C75" s="169">
        <v>1000.0</v>
      </c>
      <c r="D75" s="169">
        <v>1000.0</v>
      </c>
      <c r="E75" s="170">
        <v>1500.0</v>
      </c>
    </row>
    <row r="76" ht="15.75" customHeight="1">
      <c r="A76" s="174" t="s">
        <v>196</v>
      </c>
      <c r="B76" s="172">
        <v>900.0</v>
      </c>
      <c r="C76" s="169">
        <v>4500.0</v>
      </c>
      <c r="D76" s="169">
        <v>4500.0</v>
      </c>
      <c r="E76" s="170">
        <v>4500.0</v>
      </c>
    </row>
    <row r="77" ht="15.75" customHeight="1">
      <c r="A77" s="82" t="s">
        <v>197</v>
      </c>
      <c r="B77" s="172">
        <v>1100.0</v>
      </c>
      <c r="C77" s="154">
        <f t="shared" ref="C77:E77" si="27">B77</f>
        <v>1100</v>
      </c>
      <c r="D77" s="154">
        <f t="shared" si="27"/>
        <v>1100</v>
      </c>
      <c r="E77" s="175">
        <f t="shared" si="27"/>
        <v>1100</v>
      </c>
    </row>
    <row r="78" ht="15.75" customHeight="1">
      <c r="A78" s="82" t="s">
        <v>198</v>
      </c>
      <c r="B78" s="168">
        <v>400.0</v>
      </c>
      <c r="C78" s="169">
        <v>1600.0</v>
      </c>
      <c r="D78" s="154">
        <f t="shared" ref="D78:E78" si="28">C78</f>
        <v>1600</v>
      </c>
      <c r="E78" s="175">
        <f t="shared" si="28"/>
        <v>1600</v>
      </c>
    </row>
    <row r="79" ht="15.75" customHeight="1">
      <c r="A79" s="176" t="s">
        <v>199</v>
      </c>
      <c r="B79" s="172">
        <v>2000.0</v>
      </c>
      <c r="C79" s="154">
        <f t="shared" ref="C79:E79" si="29">B79</f>
        <v>2000</v>
      </c>
      <c r="D79" s="154">
        <f t="shared" si="29"/>
        <v>2000</v>
      </c>
      <c r="E79" s="175">
        <f t="shared" si="29"/>
        <v>2000</v>
      </c>
    </row>
    <row r="80" ht="15.75" customHeight="1">
      <c r="A80" s="176" t="s">
        <v>200</v>
      </c>
      <c r="B80" s="172">
        <v>2000.0</v>
      </c>
      <c r="C80" s="169">
        <f t="shared" ref="C80:E80" si="30">B80</f>
        <v>2000</v>
      </c>
      <c r="D80" s="154">
        <f t="shared" si="30"/>
        <v>2000</v>
      </c>
      <c r="E80" s="175">
        <f t="shared" si="30"/>
        <v>2000</v>
      </c>
    </row>
    <row r="81" ht="15.75" customHeight="1">
      <c r="A81" s="82" t="s">
        <v>201</v>
      </c>
      <c r="B81" s="172">
        <v>0.0</v>
      </c>
      <c r="C81" s="169">
        <v>1000.0</v>
      </c>
      <c r="D81" s="154">
        <f t="shared" ref="D81:E81" si="31">C81</f>
        <v>1000</v>
      </c>
      <c r="E81" s="175">
        <f t="shared" si="31"/>
        <v>1000</v>
      </c>
    </row>
    <row r="82" ht="15.75" customHeight="1">
      <c r="A82" s="177" t="s">
        <v>202</v>
      </c>
      <c r="B82" s="172">
        <v>500.0</v>
      </c>
      <c r="C82" s="169">
        <v>0.0</v>
      </c>
      <c r="D82" s="154"/>
      <c r="E82" s="175"/>
    </row>
    <row r="83" ht="15.75" customHeight="1">
      <c r="A83" s="177" t="s">
        <v>203</v>
      </c>
      <c r="B83" s="172">
        <v>0.0</v>
      </c>
      <c r="C83" s="154"/>
      <c r="D83" s="169"/>
      <c r="E83" s="170">
        <v>5000.0</v>
      </c>
    </row>
    <row r="84" ht="15.75" customHeight="1">
      <c r="A84" s="167" t="s">
        <v>204</v>
      </c>
      <c r="B84" s="172">
        <v>1000.0</v>
      </c>
      <c r="C84" s="169">
        <v>2000.0</v>
      </c>
      <c r="D84" s="169">
        <v>3000.0</v>
      </c>
      <c r="E84" s="170">
        <v>5000.0</v>
      </c>
    </row>
    <row r="85" ht="15.75" customHeight="1">
      <c r="A85" s="167" t="s">
        <v>205</v>
      </c>
      <c r="B85" s="172">
        <v>1000.0</v>
      </c>
      <c r="C85" s="169">
        <v>2000.0</v>
      </c>
      <c r="D85" s="169">
        <v>2000.0</v>
      </c>
      <c r="E85" s="170">
        <v>2000.0</v>
      </c>
    </row>
    <row r="86" ht="15.75" customHeight="1">
      <c r="A86" s="167" t="s">
        <v>206</v>
      </c>
      <c r="B86" s="172">
        <v>1000.0</v>
      </c>
      <c r="C86" s="169">
        <v>1500.0</v>
      </c>
      <c r="D86" s="169">
        <v>2000.0</v>
      </c>
      <c r="E86" s="170">
        <v>3000.0</v>
      </c>
    </row>
    <row r="87" ht="15.75" customHeight="1">
      <c r="A87" s="178" t="s">
        <v>207</v>
      </c>
      <c r="B87" s="172">
        <v>1500.0</v>
      </c>
      <c r="C87" s="169">
        <v>1000.0</v>
      </c>
      <c r="D87" s="169">
        <v>1000.0</v>
      </c>
      <c r="E87" s="170">
        <v>1000.0</v>
      </c>
    </row>
    <row r="88" ht="15.75" customHeight="1">
      <c r="A88" s="179" t="s">
        <v>208</v>
      </c>
      <c r="B88" s="168">
        <v>2500.0</v>
      </c>
      <c r="C88" s="154"/>
      <c r="D88" s="154"/>
      <c r="E88" s="175"/>
    </row>
    <row r="89" ht="15.75" customHeight="1">
      <c r="A89" s="82" t="s">
        <v>209</v>
      </c>
      <c r="B89" s="172">
        <v>2000.0</v>
      </c>
      <c r="C89" s="172">
        <f t="shared" ref="C89:E89" si="32">B89</f>
        <v>2000</v>
      </c>
      <c r="D89" s="172">
        <f t="shared" si="32"/>
        <v>2000</v>
      </c>
      <c r="E89" s="175">
        <f t="shared" si="32"/>
        <v>2000</v>
      </c>
    </row>
    <row r="90" ht="15.75" customHeight="1">
      <c r="A90" s="82" t="s">
        <v>210</v>
      </c>
      <c r="B90" s="168">
        <v>7000.0</v>
      </c>
      <c r="C90" s="172">
        <f t="shared" ref="C90:E90" si="33">B90</f>
        <v>7000</v>
      </c>
      <c r="D90" s="172">
        <f t="shared" si="33"/>
        <v>7000</v>
      </c>
      <c r="E90" s="175">
        <f t="shared" si="33"/>
        <v>7000</v>
      </c>
    </row>
    <row r="91" ht="15.75" customHeight="1">
      <c r="A91" s="82" t="s">
        <v>211</v>
      </c>
      <c r="B91" s="172">
        <v>3000.0</v>
      </c>
      <c r="C91" s="172">
        <f t="shared" ref="C91:E91" si="34">B91</f>
        <v>3000</v>
      </c>
      <c r="D91" s="172">
        <f t="shared" si="34"/>
        <v>3000</v>
      </c>
      <c r="E91" s="175">
        <f t="shared" si="34"/>
        <v>3000</v>
      </c>
    </row>
    <row r="92" ht="15.75" customHeight="1">
      <c r="A92" s="82" t="s">
        <v>82</v>
      </c>
      <c r="B92" s="172">
        <f>9000+500</f>
        <v>9500</v>
      </c>
      <c r="C92" s="172">
        <f t="shared" ref="C92:E92" si="35">B92</f>
        <v>9500</v>
      </c>
      <c r="D92" s="172">
        <f t="shared" si="35"/>
        <v>9500</v>
      </c>
      <c r="E92" s="175">
        <f t="shared" si="35"/>
        <v>9500</v>
      </c>
    </row>
    <row r="93" ht="15.75" customHeight="1">
      <c r="A93" s="82" t="s">
        <v>212</v>
      </c>
      <c r="B93" s="172">
        <v>6400.0</v>
      </c>
      <c r="C93" s="172">
        <f t="shared" ref="C93:E93" si="36">B93</f>
        <v>6400</v>
      </c>
      <c r="D93" s="172">
        <f t="shared" si="36"/>
        <v>6400</v>
      </c>
      <c r="E93" s="175">
        <f t="shared" si="36"/>
        <v>6400</v>
      </c>
    </row>
    <row r="94" ht="15.75" customHeight="1">
      <c r="A94" s="82" t="s">
        <v>213</v>
      </c>
      <c r="B94" s="168">
        <v>2721.0</v>
      </c>
      <c r="C94" s="172">
        <f t="shared" ref="C94:E94" si="37">B94</f>
        <v>2721</v>
      </c>
      <c r="D94" s="172">
        <f t="shared" si="37"/>
        <v>2721</v>
      </c>
      <c r="E94" s="175">
        <f t="shared" si="37"/>
        <v>2721</v>
      </c>
    </row>
    <row r="95" ht="15.75" customHeight="1">
      <c r="A95" s="82" t="s">
        <v>214</v>
      </c>
      <c r="B95" s="172">
        <v>4000.0</v>
      </c>
      <c r="C95" s="172">
        <f t="shared" ref="C95:E95" si="38">B95</f>
        <v>4000</v>
      </c>
      <c r="D95" s="172">
        <f t="shared" si="38"/>
        <v>4000</v>
      </c>
      <c r="E95" s="175">
        <f t="shared" si="38"/>
        <v>4000</v>
      </c>
    </row>
    <row r="96" ht="15.75" customHeight="1">
      <c r="A96" s="180" t="s">
        <v>215</v>
      </c>
      <c r="B96" s="172"/>
      <c r="C96" s="154"/>
      <c r="D96" s="154"/>
      <c r="E96" s="175"/>
    </row>
    <row r="97" ht="15.75" customHeight="1">
      <c r="A97" s="180" t="s">
        <v>216</v>
      </c>
      <c r="B97" s="172"/>
      <c r="C97" s="154"/>
      <c r="D97" s="154"/>
      <c r="E97" s="175"/>
    </row>
    <row r="98" ht="15.75" customHeight="1">
      <c r="A98" s="105"/>
      <c r="B98" s="148"/>
      <c r="C98" s="145"/>
      <c r="D98" s="145"/>
      <c r="E98" s="181"/>
    </row>
    <row r="99" ht="15.75" customHeight="1">
      <c r="A99" s="182" t="s">
        <v>40</v>
      </c>
      <c r="B99" s="183">
        <f t="shared" ref="B99:E99" si="39">SUM(B63:B98)</f>
        <v>85921</v>
      </c>
      <c r="C99" s="183">
        <f t="shared" si="39"/>
        <v>100421</v>
      </c>
      <c r="D99" s="183">
        <f t="shared" si="39"/>
        <v>113421</v>
      </c>
      <c r="E99" s="183">
        <f t="shared" si="39"/>
        <v>145821</v>
      </c>
    </row>
    <row r="100" ht="15.75" customHeight="1">
      <c r="A100" s="182"/>
      <c r="B100" s="183"/>
      <c r="C100" s="184">
        <f>C99-B99</f>
        <v>14500</v>
      </c>
      <c r="D100" s="184">
        <f>D99-B99</f>
        <v>27500</v>
      </c>
      <c r="E100" s="185">
        <f>E99-B99</f>
        <v>59900</v>
      </c>
      <c r="G100" s="79">
        <f>1100+400</f>
        <v>1500</v>
      </c>
    </row>
    <row r="101" ht="15.75" customHeight="1">
      <c r="A101" s="182"/>
      <c r="B101" s="183"/>
      <c r="C101" s="186">
        <f t="shared" ref="C101:E101" si="40">C100*2</f>
        <v>29000</v>
      </c>
      <c r="D101" s="186">
        <f t="shared" si="40"/>
        <v>55000</v>
      </c>
      <c r="E101" s="187">
        <f t="shared" si="40"/>
        <v>119800</v>
      </c>
      <c r="G101" s="79">
        <f>1100+1621</f>
        <v>2721</v>
      </c>
    </row>
    <row r="102" ht="15.75" customHeight="1">
      <c r="A102" s="182"/>
      <c r="B102" s="188"/>
      <c r="C102" s="188"/>
      <c r="D102" s="188"/>
      <c r="E102" s="189"/>
    </row>
    <row r="103" ht="15.75" customHeight="1">
      <c r="B103" s="88"/>
      <c r="C103" s="88"/>
      <c r="D103" s="88"/>
    </row>
    <row r="104" ht="15.75" customHeight="1">
      <c r="B104" s="87" t="s">
        <v>40</v>
      </c>
      <c r="C104" s="87" t="s">
        <v>217</v>
      </c>
    </row>
    <row r="105" ht="15.75" customHeight="1">
      <c r="A105" s="79" t="s">
        <v>218</v>
      </c>
      <c r="B105" s="154">
        <v>110000.0</v>
      </c>
      <c r="C105" s="80">
        <v>6.0</v>
      </c>
    </row>
    <row r="106" ht="15.75" customHeight="1">
      <c r="A106" s="79" t="s">
        <v>219</v>
      </c>
    </row>
    <row r="107" ht="15.75" customHeight="1">
      <c r="A107" s="80"/>
    </row>
    <row r="108" ht="15.75" customHeight="1">
      <c r="A108" s="80"/>
    </row>
    <row r="109" ht="15.75" customHeight="1">
      <c r="A109" s="80"/>
    </row>
    <row r="110" ht="15.75" customHeight="1">
      <c r="A110" s="80"/>
    </row>
    <row r="111" ht="15.75" customHeight="1">
      <c r="A111" s="80"/>
    </row>
    <row r="112" ht="15.75" customHeight="1">
      <c r="A112" s="80"/>
      <c r="N112" s="65">
        <f t="shared" ref="N112:Y112" si="41">(B114+C114+D114+E114+F114+G114+H114+I114+J114+K114+L114+M114)</f>
        <v>1113345.17</v>
      </c>
      <c r="O112" s="65">
        <f t="shared" si="41"/>
        <v>1194435.737</v>
      </c>
      <c r="P112" s="65">
        <f t="shared" si="41"/>
        <v>1268591.963</v>
      </c>
      <c r="Q112" s="65">
        <f t="shared" si="41"/>
        <v>1364979.077</v>
      </c>
      <c r="R112" s="65">
        <f t="shared" si="41"/>
        <v>1469170.683</v>
      </c>
      <c r="S112" s="65">
        <f t="shared" si="41"/>
        <v>1586700.183</v>
      </c>
      <c r="T112" s="65">
        <f t="shared" si="41"/>
        <v>1729335.83</v>
      </c>
      <c r="U112" s="65">
        <f t="shared" si="41"/>
        <v>1878903.863</v>
      </c>
      <c r="V112" s="65">
        <f t="shared" si="41"/>
        <v>2061552.443</v>
      </c>
      <c r="W112" s="65">
        <f t="shared" si="41"/>
        <v>2275530.7</v>
      </c>
      <c r="X112" s="65">
        <f t="shared" si="41"/>
        <v>2487112.84</v>
      </c>
      <c r="Y112" s="65">
        <f t="shared" si="41"/>
        <v>2722531.777</v>
      </c>
    </row>
    <row r="113" ht="15.75" customHeight="1">
      <c r="A113" s="190" t="s">
        <v>220</v>
      </c>
      <c r="B113" s="191">
        <v>1.0</v>
      </c>
      <c r="C113" s="191">
        <v>2.0</v>
      </c>
      <c r="D113" s="191">
        <v>3.0</v>
      </c>
      <c r="E113" s="191">
        <v>4.0</v>
      </c>
      <c r="F113" s="191">
        <v>5.0</v>
      </c>
      <c r="G113" s="191">
        <v>6.0</v>
      </c>
      <c r="H113" s="191">
        <v>7.0</v>
      </c>
      <c r="I113" s="191">
        <v>8.0</v>
      </c>
      <c r="J113" s="191">
        <v>9.0</v>
      </c>
      <c r="K113" s="191">
        <v>10.0</v>
      </c>
      <c r="L113" s="191">
        <v>11.0</v>
      </c>
      <c r="M113" s="191">
        <v>12.0</v>
      </c>
      <c r="N113" s="191">
        <v>1.0</v>
      </c>
      <c r="O113" s="191">
        <v>2.0</v>
      </c>
      <c r="P113" s="191">
        <v>3.0</v>
      </c>
      <c r="Q113" s="191">
        <v>4.0</v>
      </c>
      <c r="R113" s="191">
        <v>5.0</v>
      </c>
      <c r="S113" s="191">
        <v>6.0</v>
      </c>
      <c r="T113" s="191">
        <v>7.0</v>
      </c>
      <c r="U113" s="191">
        <v>8.0</v>
      </c>
      <c r="V113" s="191">
        <v>9.0</v>
      </c>
      <c r="W113" s="191">
        <v>10.0</v>
      </c>
      <c r="X113" s="191">
        <v>11.0</v>
      </c>
      <c r="Y113" s="191">
        <v>12.0</v>
      </c>
    </row>
    <row r="114" ht="15.75" customHeight="1">
      <c r="A114" s="192">
        <f>SUM(B114:M114)</f>
        <v>1113345.17</v>
      </c>
      <c r="B114" s="193">
        <v>62160.33</v>
      </c>
      <c r="C114" s="193">
        <v>69442.98</v>
      </c>
      <c r="D114" s="193">
        <v>60810.41</v>
      </c>
      <c r="E114" s="193">
        <v>66091.21</v>
      </c>
      <c r="F114" s="193">
        <v>66156.1</v>
      </c>
      <c r="G114" s="193">
        <v>80470.22</v>
      </c>
      <c r="H114" s="193">
        <v>108985.3</v>
      </c>
      <c r="I114" s="193">
        <v>103723.42</v>
      </c>
      <c r="J114" s="193">
        <v>100903.61</v>
      </c>
      <c r="K114" s="193">
        <v>125613.86</v>
      </c>
      <c r="L114" s="193">
        <v>110827.73</v>
      </c>
      <c r="M114" s="193">
        <v>158160.0</v>
      </c>
      <c r="N114" s="194">
        <f>'Resumão Geral'!D5</f>
        <v>143250.8967</v>
      </c>
      <c r="O114" s="194">
        <f>'Resumão Geral'!E5</f>
        <v>143599.2067</v>
      </c>
      <c r="P114" s="194">
        <f>'Resumão Geral'!F5</f>
        <v>157197.5233</v>
      </c>
      <c r="Q114" s="194">
        <f>'Resumão Geral'!G5</f>
        <v>170282.8167</v>
      </c>
      <c r="R114" s="194">
        <f>'Resumão Geral'!H5</f>
        <v>183685.6</v>
      </c>
      <c r="S114" s="194">
        <f>'Resumão Geral'!I5</f>
        <v>223105.8667</v>
      </c>
      <c r="T114" s="194">
        <f>'Resumão Geral'!J5</f>
        <v>258553.3333</v>
      </c>
      <c r="U114" s="194">
        <f>'Resumão Geral'!K5</f>
        <v>286372</v>
      </c>
      <c r="V114" s="194">
        <f>'Resumão Geral'!L5</f>
        <v>314881.8667</v>
      </c>
      <c r="W114" s="194">
        <f>'Resumão Geral'!M5</f>
        <v>337196</v>
      </c>
      <c r="X114" s="194">
        <f>'Resumão Geral'!N5</f>
        <v>346246.6667</v>
      </c>
      <c r="Y114" s="194">
        <f>'Resumão Geral'!O5</f>
        <v>345814.6667</v>
      </c>
    </row>
    <row r="115" ht="15.75" customHeight="1">
      <c r="A115" s="80"/>
      <c r="D115" s="195"/>
      <c r="M115" s="196" t="s">
        <v>221</v>
      </c>
      <c r="N115" s="197">
        <f t="shared" ref="N115:Y115" si="42">(((B114+C114+D114+E114+F114+G114+H114+I114+J114+K114+L114+M114)*$D$116)-$E$116)/(B114+C114+D114+E114+F114+G114+H114+I114+J114+K114+L114+M114)</f>
        <v>0.1279883643</v>
      </c>
      <c r="O115" s="197">
        <f t="shared" si="42"/>
        <v>0.1301616429</v>
      </c>
      <c r="P115" s="197">
        <f t="shared" si="42"/>
        <v>0.1319058602</v>
      </c>
      <c r="Q115" s="197">
        <f t="shared" si="42"/>
        <v>0.1338897097</v>
      </c>
      <c r="R115" s="197">
        <f t="shared" si="42"/>
        <v>0.1357414163</v>
      </c>
      <c r="S115" s="197">
        <f t="shared" si="42"/>
        <v>0.1375382896</v>
      </c>
      <c r="T115" s="197">
        <f t="shared" si="42"/>
        <v>0.1393909318</v>
      </c>
      <c r="U115" s="197">
        <f t="shared" si="42"/>
        <v>0.1410314936</v>
      </c>
      <c r="V115" s="197">
        <f t="shared" si="42"/>
        <v>0.1427120575</v>
      </c>
      <c r="W115" s="197">
        <f t="shared" si="42"/>
        <v>0.1443377195</v>
      </c>
      <c r="X115" s="197">
        <f t="shared" si="42"/>
        <v>0.1456701315</v>
      </c>
      <c r="Y115" s="197">
        <f t="shared" si="42"/>
        <v>0.1469092437</v>
      </c>
    </row>
    <row r="116" ht="15.75" customHeight="1">
      <c r="A116" s="198" t="s">
        <v>222</v>
      </c>
      <c r="D116" s="199">
        <v>0.16</v>
      </c>
      <c r="E116" s="193">
        <v>35640.0</v>
      </c>
      <c r="M116" s="196" t="s">
        <v>223</v>
      </c>
      <c r="N116" s="197">
        <f t="shared" ref="N116:Y116" si="43">(((B114+C114+D114+E114+F114+G114+H114+I114+J114+K114+L114+M114)*$D$117)-$E$117)/(B114+C114+D114+E114+F114+G114+H114+I114+J114+K114+L114+M114)</f>
        <v>0.09715090038</v>
      </c>
      <c r="O116" s="197">
        <f t="shared" si="43"/>
        <v>0.1048122564</v>
      </c>
      <c r="P116" s="197">
        <f t="shared" si="43"/>
        <v>0.1109610626</v>
      </c>
      <c r="Q116" s="197">
        <f t="shared" si="43"/>
        <v>0.117954633</v>
      </c>
      <c r="R116" s="197">
        <f t="shared" si="43"/>
        <v>0.1244823665</v>
      </c>
      <c r="S116" s="197">
        <f t="shared" si="43"/>
        <v>0.1308167987</v>
      </c>
      <c r="T116" s="197">
        <f t="shared" si="43"/>
        <v>0.1373478304</v>
      </c>
      <c r="U116" s="197">
        <f t="shared" si="43"/>
        <v>0.1431312248</v>
      </c>
      <c r="V116" s="197">
        <f t="shared" si="43"/>
        <v>0.1490556372</v>
      </c>
      <c r="W116" s="197">
        <f t="shared" si="43"/>
        <v>0.1547865063</v>
      </c>
      <c r="X116" s="197">
        <f t="shared" si="43"/>
        <v>0.1594835948</v>
      </c>
      <c r="Y116" s="197">
        <f t="shared" si="43"/>
        <v>0.1638517783</v>
      </c>
    </row>
    <row r="117" ht="15.75" customHeight="1">
      <c r="D117" s="199">
        <v>0.21</v>
      </c>
      <c r="E117" s="193">
        <v>125640.0</v>
      </c>
      <c r="N117" s="197">
        <f t="shared" ref="N117:Y117" si="44">IF(N112&gt;1800000,N116,N115)</f>
        <v>0.1279883643</v>
      </c>
      <c r="O117" s="197">
        <f t="shared" si="44"/>
        <v>0.1301616429</v>
      </c>
      <c r="P117" s="197">
        <f t="shared" si="44"/>
        <v>0.1319058602</v>
      </c>
      <c r="Q117" s="197">
        <f t="shared" si="44"/>
        <v>0.1338897097</v>
      </c>
      <c r="R117" s="197">
        <f t="shared" si="44"/>
        <v>0.1357414163</v>
      </c>
      <c r="S117" s="197">
        <f t="shared" si="44"/>
        <v>0.1375382896</v>
      </c>
      <c r="T117" s="197">
        <f t="shared" si="44"/>
        <v>0.1393909318</v>
      </c>
      <c r="U117" s="197">
        <f t="shared" si="44"/>
        <v>0.1431312248</v>
      </c>
      <c r="V117" s="197">
        <f t="shared" si="44"/>
        <v>0.1490556372</v>
      </c>
      <c r="W117" s="197">
        <f t="shared" si="44"/>
        <v>0.1547865063</v>
      </c>
      <c r="X117" s="197">
        <f t="shared" si="44"/>
        <v>0.1594835948</v>
      </c>
      <c r="Y117" s="197">
        <f t="shared" si="44"/>
        <v>0.1638517783</v>
      </c>
    </row>
    <row r="118" ht="15.75" customHeight="1">
      <c r="D118" s="195"/>
    </row>
    <row r="119" ht="15.75" customHeight="1">
      <c r="D119" s="195"/>
    </row>
    <row r="120" ht="15.75" customHeight="1"/>
    <row r="121" ht="15.75" customHeight="1">
      <c r="A121" s="200" t="s">
        <v>224</v>
      </c>
    </row>
    <row r="122" ht="15.75" customHeight="1">
      <c r="A122" s="196" t="s">
        <v>225</v>
      </c>
      <c r="B122" s="201">
        <v>0.4</v>
      </c>
    </row>
    <row r="123" ht="15.75" customHeight="1">
      <c r="A123" s="196" t="s">
        <v>157</v>
      </c>
      <c r="B123" s="202"/>
    </row>
    <row r="124" ht="15.75" customHeight="1">
      <c r="A124" s="196" t="s">
        <v>226</v>
      </c>
      <c r="B124" s="193">
        <v>2500.0</v>
      </c>
    </row>
    <row r="125" ht="15.75" customHeight="1">
      <c r="A125" s="196" t="s">
        <v>213</v>
      </c>
      <c r="B125" s="193">
        <v>500.0</v>
      </c>
    </row>
    <row r="126" ht="15.75" customHeight="1">
      <c r="A126" s="196" t="s">
        <v>227</v>
      </c>
      <c r="B126" s="193">
        <v>2000.0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51:C51"/>
  </mergeCells>
  <conditionalFormatting sqref="O3:Z3">
    <cfRule type="colorScale" priority="1">
      <colorScale>
        <cfvo type="min"/>
        <cfvo type="max"/>
        <color rgb="FFF2F2F2"/>
        <color rgb="FFD40B6C"/>
      </colorScale>
    </cfRule>
  </conditionalFormatting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1" max="1" width="34.33"/>
    <col customWidth="1" min="2" max="2" width="20.56"/>
    <col customWidth="1" min="3" max="3" width="19.44"/>
    <col customWidth="1" min="4" max="4" width="21.67"/>
    <col customWidth="1" min="5" max="5" width="17.11"/>
    <col customWidth="1" min="6" max="6" width="18.0"/>
    <col customWidth="1" min="7" max="9" width="17.11"/>
    <col customWidth="1" min="10" max="16" width="16.33"/>
    <col customWidth="1" min="17" max="17" width="20.89"/>
    <col customWidth="1" min="18" max="18" width="14.44"/>
    <col customWidth="1" min="19" max="19" width="16.78"/>
    <col customWidth="1" min="20" max="20" width="12.33"/>
    <col customWidth="1" min="21" max="21" width="16.78"/>
    <col customWidth="1" min="22" max="22" width="12.89"/>
    <col customWidth="1" min="23" max="23" width="12.11"/>
    <col customWidth="1" min="24" max="24" width="13.0"/>
    <col customWidth="1" min="25" max="25" width="13.56"/>
    <col customWidth="1" min="26" max="26" width="2.44"/>
    <col customWidth="1" min="27" max="28" width="11.56"/>
    <col customWidth="1" min="29" max="30" width="12.56"/>
    <col customWidth="1" min="31" max="35" width="10.56"/>
  </cols>
  <sheetData>
    <row r="1" ht="15.75" customHeight="1">
      <c r="A1" s="203" t="s">
        <v>228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T1" s="148"/>
      <c r="U1" s="148"/>
      <c r="V1" s="148"/>
      <c r="W1" s="148"/>
      <c r="X1" s="148"/>
      <c r="Y1" s="148"/>
      <c r="Z1" s="148"/>
      <c r="AA1" s="164"/>
      <c r="AB1" s="164"/>
      <c r="AC1" s="164"/>
      <c r="AD1" s="164"/>
      <c r="AE1" s="164"/>
      <c r="AF1" s="164"/>
      <c r="AG1" s="164"/>
      <c r="AH1" s="164"/>
      <c r="AI1" s="164"/>
    </row>
    <row r="2" ht="15.75" customHeight="1">
      <c r="A2" s="163" t="s">
        <v>129</v>
      </c>
      <c r="B2" s="204" t="s">
        <v>40</v>
      </c>
      <c r="C2" s="96" t="s">
        <v>229</v>
      </c>
      <c r="D2" s="205" t="s">
        <v>230</v>
      </c>
      <c r="E2" s="96">
        <v>1.0</v>
      </c>
      <c r="F2" s="96">
        <v>2.0</v>
      </c>
      <c r="G2" s="96">
        <v>3.0</v>
      </c>
      <c r="H2" s="96">
        <v>4.0</v>
      </c>
      <c r="I2" s="96">
        <v>5.0</v>
      </c>
      <c r="J2" s="96">
        <v>6.0</v>
      </c>
      <c r="K2" s="96">
        <v>7.0</v>
      </c>
      <c r="L2" s="96">
        <v>8.0</v>
      </c>
      <c r="M2" s="96">
        <v>9.0</v>
      </c>
      <c r="N2" s="96">
        <v>10.0</v>
      </c>
      <c r="O2" s="96">
        <v>11.0</v>
      </c>
      <c r="P2" s="96">
        <v>12.0</v>
      </c>
    </row>
    <row r="3" ht="15.75" customHeight="1">
      <c r="A3" s="206" t="s">
        <v>231</v>
      </c>
      <c r="B3" s="207">
        <f>SUM(E3:P3)</f>
        <v>2008800</v>
      </c>
      <c r="C3" s="154">
        <f t="shared" ref="C3:C5" si="1">AVERAGE(E3:P3)</f>
        <v>167400</v>
      </c>
      <c r="D3" s="175"/>
      <c r="E3" s="154">
        <f>'Premissas gerais'!O5</f>
        <v>42943.46793</v>
      </c>
      <c r="F3" s="154">
        <f>'Premissas gerais'!P5</f>
        <v>90658.4323</v>
      </c>
      <c r="G3" s="154">
        <f>'Premissas gerais'!Q5</f>
        <v>26243.2304</v>
      </c>
      <c r="H3" s="154">
        <f>'Premissas gerais'!R5</f>
        <v>181316.8646</v>
      </c>
      <c r="I3" s="154">
        <f>'Premissas gerais'!S5</f>
        <v>152687.886</v>
      </c>
      <c r="J3" s="154">
        <f>'Premissas gerais'!T5</f>
        <v>183702.6128</v>
      </c>
      <c r="K3" s="154">
        <f>'Premissas gerais'!U5</f>
        <v>167002.3753</v>
      </c>
      <c r="L3" s="154">
        <f>'Premissas gerais'!V5</f>
        <v>250503.5629</v>
      </c>
      <c r="M3" s="154">
        <f>'Premissas gerais'!W5</f>
        <v>195631.3539</v>
      </c>
      <c r="N3" s="154">
        <f>'Premissas gerais'!X5</f>
        <v>267203.8005</v>
      </c>
      <c r="O3" s="154">
        <f>'Premissas gerais'!Y5</f>
        <v>236189.0736</v>
      </c>
      <c r="P3" s="154">
        <f>'Premissas gerais'!Z5</f>
        <v>214717.3397</v>
      </c>
    </row>
    <row r="4" ht="15.75" customHeight="1">
      <c r="A4" s="110" t="s">
        <v>232</v>
      </c>
      <c r="B4" s="208">
        <v>1.0</v>
      </c>
      <c r="C4" s="147">
        <f t="shared" si="1"/>
        <v>1</v>
      </c>
      <c r="D4" s="209"/>
      <c r="E4" s="109">
        <f t="shared" ref="E4:P4" si="2">E3/$C$3</f>
        <v>0.2565320665</v>
      </c>
      <c r="F4" s="109">
        <f t="shared" si="2"/>
        <v>0.541567696</v>
      </c>
      <c r="G4" s="109">
        <f t="shared" si="2"/>
        <v>0.1567695962</v>
      </c>
      <c r="H4" s="109">
        <f t="shared" si="2"/>
        <v>1.083135392</v>
      </c>
      <c r="I4" s="109">
        <f t="shared" si="2"/>
        <v>0.9121140143</v>
      </c>
      <c r="J4" s="109">
        <f t="shared" si="2"/>
        <v>1.097387173</v>
      </c>
      <c r="K4" s="109">
        <f t="shared" si="2"/>
        <v>0.9976247031</v>
      </c>
      <c r="L4" s="109">
        <f t="shared" si="2"/>
        <v>1.496437055</v>
      </c>
      <c r="M4" s="109">
        <f t="shared" si="2"/>
        <v>1.168646081</v>
      </c>
      <c r="N4" s="109">
        <f t="shared" si="2"/>
        <v>1.596199525</v>
      </c>
      <c r="O4" s="109">
        <f t="shared" si="2"/>
        <v>1.410926366</v>
      </c>
      <c r="P4" s="109">
        <f t="shared" si="2"/>
        <v>1.282660333</v>
      </c>
      <c r="V4" s="191" t="s">
        <v>233</v>
      </c>
      <c r="W4" s="191" t="s">
        <v>234</v>
      </c>
      <c r="X4" s="191" t="s">
        <v>235</v>
      </c>
      <c r="Y4" s="191" t="s">
        <v>236</v>
      </c>
      <c r="Z4" s="191"/>
      <c r="AA4" s="191" t="s">
        <v>233</v>
      </c>
      <c r="AB4" s="191" t="s">
        <v>234</v>
      </c>
      <c r="AC4" s="191" t="s">
        <v>235</v>
      </c>
      <c r="AD4" s="191" t="s">
        <v>236</v>
      </c>
      <c r="AE4" s="191"/>
      <c r="AF4" s="191"/>
      <c r="AG4" s="191"/>
      <c r="AH4" s="191"/>
      <c r="AI4" s="191"/>
    </row>
    <row r="5" ht="15.75" customHeight="1">
      <c r="A5" s="104" t="s">
        <v>237</v>
      </c>
      <c r="B5" s="210">
        <f>C5</f>
        <v>2</v>
      </c>
      <c r="C5" s="133">
        <f t="shared" si="1"/>
        <v>2</v>
      </c>
      <c r="D5" s="211">
        <v>2.0</v>
      </c>
      <c r="E5" s="80">
        <f t="shared" ref="E5:J5" si="3">D5</f>
        <v>2</v>
      </c>
      <c r="F5" s="80">
        <f t="shared" si="3"/>
        <v>2</v>
      </c>
      <c r="G5" s="80">
        <f t="shared" si="3"/>
        <v>2</v>
      </c>
      <c r="H5" s="80">
        <f t="shared" si="3"/>
        <v>2</v>
      </c>
      <c r="I5" s="80">
        <f t="shared" si="3"/>
        <v>2</v>
      </c>
      <c r="J5" s="80">
        <f t="shared" si="3"/>
        <v>2</v>
      </c>
      <c r="K5" s="212">
        <v>2.0</v>
      </c>
      <c r="L5" s="80">
        <f t="shared" ref="L5:P5" si="4">K5</f>
        <v>2</v>
      </c>
      <c r="M5" s="80">
        <f t="shared" si="4"/>
        <v>2</v>
      </c>
      <c r="N5" s="80">
        <f t="shared" si="4"/>
        <v>2</v>
      </c>
      <c r="O5" s="80">
        <f t="shared" si="4"/>
        <v>2</v>
      </c>
      <c r="P5" s="80">
        <f t="shared" si="4"/>
        <v>2</v>
      </c>
      <c r="U5" s="196" t="s">
        <v>238</v>
      </c>
      <c r="V5" s="193">
        <v>10000.0</v>
      </c>
      <c r="W5" s="193">
        <v>10000.0</v>
      </c>
      <c r="X5" s="193">
        <v>10000.0</v>
      </c>
      <c r="Y5" s="193">
        <v>10000.0</v>
      </c>
      <c r="Z5" s="196" t="s">
        <v>238</v>
      </c>
      <c r="AA5" s="193">
        <v>10000.0</v>
      </c>
      <c r="AB5" s="193">
        <v>10000.0</v>
      </c>
      <c r="AC5" s="193">
        <v>10000.0</v>
      </c>
      <c r="AD5" s="193">
        <v>10000.0</v>
      </c>
      <c r="AE5" s="193"/>
      <c r="AF5" s="193"/>
      <c r="AG5" s="193"/>
      <c r="AH5" s="193"/>
      <c r="AI5" s="193"/>
    </row>
    <row r="6" ht="15.75" customHeight="1">
      <c r="A6" s="213" t="s">
        <v>239</v>
      </c>
      <c r="B6" s="214">
        <v>84.0</v>
      </c>
      <c r="C6" s="215"/>
      <c r="D6" s="216"/>
      <c r="E6" s="217">
        <v>84.0</v>
      </c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U6" s="196" t="s">
        <v>240</v>
      </c>
      <c r="V6" s="201">
        <v>0.0</v>
      </c>
      <c r="W6" s="201">
        <v>0.05</v>
      </c>
      <c r="X6" s="201">
        <v>0.1</v>
      </c>
      <c r="Y6" s="201">
        <v>0.15</v>
      </c>
      <c r="Z6" s="196" t="s">
        <v>240</v>
      </c>
      <c r="AA6" s="201">
        <v>0.0</v>
      </c>
      <c r="AB6" s="218">
        <v>0.025</v>
      </c>
      <c r="AC6" s="201">
        <v>0.05</v>
      </c>
      <c r="AD6" s="201">
        <v>0.1</v>
      </c>
      <c r="AE6" s="201"/>
      <c r="AF6" s="201"/>
      <c r="AG6" s="201"/>
      <c r="AH6" s="201"/>
      <c r="AI6" s="201"/>
    </row>
    <row r="7" ht="15.75" customHeight="1">
      <c r="A7" s="213" t="s">
        <v>241</v>
      </c>
      <c r="B7" s="219">
        <f t="shared" ref="B7:B11" si="6">SUM(E7:P7)</f>
        <v>907.5</v>
      </c>
      <c r="C7" s="215"/>
      <c r="D7" s="216"/>
      <c r="E7" s="215">
        <f t="shared" ref="E7:P7" si="5">E8*3</f>
        <v>37.5</v>
      </c>
      <c r="F7" s="215">
        <f t="shared" si="5"/>
        <v>45</v>
      </c>
      <c r="G7" s="215">
        <f t="shared" si="5"/>
        <v>60</v>
      </c>
      <c r="H7" s="215">
        <f t="shared" si="5"/>
        <v>66</v>
      </c>
      <c r="I7" s="215">
        <f t="shared" si="5"/>
        <v>72</v>
      </c>
      <c r="J7" s="215">
        <f t="shared" si="5"/>
        <v>78</v>
      </c>
      <c r="K7" s="215">
        <f t="shared" si="5"/>
        <v>84</v>
      </c>
      <c r="L7" s="215">
        <f t="shared" si="5"/>
        <v>90</v>
      </c>
      <c r="M7" s="215">
        <f t="shared" si="5"/>
        <v>96</v>
      </c>
      <c r="N7" s="215">
        <f t="shared" si="5"/>
        <v>99</v>
      </c>
      <c r="O7" s="215">
        <f t="shared" si="5"/>
        <v>90</v>
      </c>
      <c r="P7" s="215">
        <f t="shared" si="5"/>
        <v>90</v>
      </c>
      <c r="U7" s="196" t="s">
        <v>242</v>
      </c>
      <c r="V7" s="191">
        <v>3.0</v>
      </c>
      <c r="W7" s="191">
        <v>7.0</v>
      </c>
      <c r="X7" s="191">
        <v>10.0</v>
      </c>
      <c r="Y7" s="191">
        <v>12.0</v>
      </c>
      <c r="Z7" s="196" t="s">
        <v>242</v>
      </c>
      <c r="AA7" s="191">
        <v>4.0</v>
      </c>
      <c r="AB7" s="191">
        <v>7.0</v>
      </c>
      <c r="AC7" s="191">
        <v>12.0</v>
      </c>
      <c r="AD7" s="191">
        <v>14.0</v>
      </c>
      <c r="AE7" s="191"/>
      <c r="AF7" s="191"/>
      <c r="AG7" s="191"/>
      <c r="AH7" s="191"/>
      <c r="AI7" s="191"/>
    </row>
    <row r="8" ht="15.75" customHeight="1">
      <c r="A8" s="104" t="s">
        <v>243</v>
      </c>
      <c r="B8" s="210">
        <f t="shared" si="6"/>
        <v>302.5</v>
      </c>
      <c r="C8" s="133">
        <f t="shared" ref="C8:C10" si="9">AVERAGE(E8:P8)</f>
        <v>25.20833333</v>
      </c>
      <c r="D8" s="220">
        <v>12.5</v>
      </c>
      <c r="E8" s="221">
        <f>D8</f>
        <v>12.5</v>
      </c>
      <c r="F8" s="221">
        <v>15.0</v>
      </c>
      <c r="G8" s="222">
        <v>20.0</v>
      </c>
      <c r="H8" s="222">
        <v>22.0</v>
      </c>
      <c r="I8" s="222">
        <v>24.0</v>
      </c>
      <c r="J8" s="222">
        <v>26.0</v>
      </c>
      <c r="K8" s="222">
        <v>28.0</v>
      </c>
      <c r="L8" s="221">
        <v>30.0</v>
      </c>
      <c r="M8" s="222">
        <v>32.0</v>
      </c>
      <c r="N8" s="222">
        <v>33.0</v>
      </c>
      <c r="O8" s="222">
        <v>30.0</v>
      </c>
      <c r="P8" s="222">
        <v>30.0</v>
      </c>
      <c r="U8" s="196" t="s">
        <v>244</v>
      </c>
      <c r="V8" s="202">
        <f t="shared" ref="V8:Y8" si="7">V7*V5</f>
        <v>30000</v>
      </c>
      <c r="W8" s="202">
        <f t="shared" si="7"/>
        <v>70000</v>
      </c>
      <c r="X8" s="202">
        <f t="shared" si="7"/>
        <v>100000</v>
      </c>
      <c r="Y8" s="202">
        <f t="shared" si="7"/>
        <v>120000</v>
      </c>
      <c r="Z8" s="196" t="s">
        <v>244</v>
      </c>
      <c r="AA8" s="202">
        <f t="shared" ref="AA8:AD8" si="8">AA7*AA5</f>
        <v>40000</v>
      </c>
      <c r="AB8" s="202">
        <f t="shared" si="8"/>
        <v>70000</v>
      </c>
      <c r="AC8" s="202">
        <f t="shared" si="8"/>
        <v>120000</v>
      </c>
      <c r="AD8" s="202">
        <f t="shared" si="8"/>
        <v>140000</v>
      </c>
      <c r="AE8" s="202"/>
      <c r="AF8" s="202"/>
      <c r="AG8" s="202"/>
      <c r="AH8" s="202"/>
      <c r="AI8" s="202"/>
    </row>
    <row r="9" ht="15.75" customHeight="1">
      <c r="A9" s="104" t="s">
        <v>245</v>
      </c>
      <c r="B9" s="210">
        <f t="shared" si="6"/>
        <v>605</v>
      </c>
      <c r="C9" s="133">
        <f t="shared" si="9"/>
        <v>50.41666667</v>
      </c>
      <c r="D9" s="137">
        <f>E8*E5</f>
        <v>25</v>
      </c>
      <c r="E9" s="133">
        <f t="shared" ref="E9:P9" si="10">E5*E8</f>
        <v>25</v>
      </c>
      <c r="F9" s="133">
        <f t="shared" si="10"/>
        <v>30</v>
      </c>
      <c r="G9" s="133">
        <f t="shared" si="10"/>
        <v>40</v>
      </c>
      <c r="H9" s="133">
        <f t="shared" si="10"/>
        <v>44</v>
      </c>
      <c r="I9" s="133">
        <f t="shared" si="10"/>
        <v>48</v>
      </c>
      <c r="J9" s="133">
        <f t="shared" si="10"/>
        <v>52</v>
      </c>
      <c r="K9" s="133">
        <f t="shared" si="10"/>
        <v>56</v>
      </c>
      <c r="L9" s="133">
        <f t="shared" si="10"/>
        <v>60</v>
      </c>
      <c r="M9" s="133">
        <f t="shared" si="10"/>
        <v>64</v>
      </c>
      <c r="N9" s="133">
        <f t="shared" si="10"/>
        <v>66</v>
      </c>
      <c r="O9" s="133">
        <f t="shared" si="10"/>
        <v>60</v>
      </c>
      <c r="P9" s="133">
        <f t="shared" si="10"/>
        <v>60</v>
      </c>
      <c r="U9" s="196" t="s">
        <v>246</v>
      </c>
      <c r="V9" s="193">
        <v>4000.0</v>
      </c>
      <c r="W9" s="193">
        <f t="shared" ref="W9:Y9" si="11">V9</f>
        <v>4000</v>
      </c>
      <c r="X9" s="193">
        <f t="shared" si="11"/>
        <v>4000</v>
      </c>
      <c r="Y9" s="193">
        <f t="shared" si="11"/>
        <v>4000</v>
      </c>
      <c r="Z9" s="196" t="s">
        <v>246</v>
      </c>
      <c r="AA9" s="193">
        <v>5000.0</v>
      </c>
      <c r="AB9" s="193">
        <f t="shared" ref="AB9:AD9" si="12">AA9</f>
        <v>5000</v>
      </c>
      <c r="AC9" s="193">
        <f t="shared" si="12"/>
        <v>5000</v>
      </c>
      <c r="AD9" s="193">
        <f t="shared" si="12"/>
        <v>5000</v>
      </c>
      <c r="AE9" s="193"/>
      <c r="AF9" s="193"/>
      <c r="AG9" s="193"/>
      <c r="AH9" s="193"/>
      <c r="AI9" s="193"/>
    </row>
    <row r="10" ht="15.75" customHeight="1">
      <c r="A10" s="104" t="s">
        <v>247</v>
      </c>
      <c r="B10" s="210">
        <f t="shared" si="6"/>
        <v>3.84</v>
      </c>
      <c r="C10" s="133">
        <f t="shared" si="9"/>
        <v>0.32</v>
      </c>
      <c r="D10" s="223">
        <v>3.32</v>
      </c>
      <c r="E10" s="199">
        <v>0.32</v>
      </c>
      <c r="F10" s="90">
        <v>0.32</v>
      </c>
      <c r="G10" s="90">
        <v>0.32</v>
      </c>
      <c r="H10" s="90">
        <v>0.32</v>
      </c>
      <c r="I10" s="90">
        <v>0.32</v>
      </c>
      <c r="J10" s="90">
        <v>0.32</v>
      </c>
      <c r="K10" s="90">
        <v>0.32</v>
      </c>
      <c r="L10" s="90">
        <v>0.32</v>
      </c>
      <c r="M10" s="90">
        <v>0.32</v>
      </c>
      <c r="N10" s="90">
        <v>0.32</v>
      </c>
      <c r="O10" s="90">
        <v>0.32</v>
      </c>
      <c r="P10" s="90">
        <v>0.32</v>
      </c>
      <c r="U10" s="196" t="s">
        <v>248</v>
      </c>
      <c r="V10" s="202">
        <f t="shared" ref="V10:Y10" si="13">V6*V8</f>
        <v>0</v>
      </c>
      <c r="W10" s="202">
        <f t="shared" si="13"/>
        <v>3500</v>
      </c>
      <c r="X10" s="202">
        <f t="shared" si="13"/>
        <v>10000</v>
      </c>
      <c r="Y10" s="202">
        <f t="shared" si="13"/>
        <v>18000</v>
      </c>
      <c r="Z10" s="196" t="s">
        <v>248</v>
      </c>
      <c r="AA10" s="202">
        <f t="shared" ref="AA10:AD10" si="14">AA6*AA8</f>
        <v>0</v>
      </c>
      <c r="AB10" s="202">
        <f t="shared" si="14"/>
        <v>1750</v>
      </c>
      <c r="AC10" s="202">
        <f t="shared" si="14"/>
        <v>6000</v>
      </c>
      <c r="AD10" s="202">
        <f t="shared" si="14"/>
        <v>14000</v>
      </c>
      <c r="AE10" s="224"/>
      <c r="AF10" s="224"/>
      <c r="AG10" s="224"/>
      <c r="AH10" s="224"/>
      <c r="AI10" s="224"/>
    </row>
    <row r="11" ht="15.75" customHeight="1">
      <c r="A11" s="104" t="s">
        <v>249</v>
      </c>
      <c r="B11" s="210">
        <f t="shared" si="6"/>
        <v>193.6</v>
      </c>
      <c r="C11" s="133">
        <f>AVERAGE(D11:P11)</f>
        <v>15.50769231</v>
      </c>
      <c r="D11" s="137">
        <f>E10*E9</f>
        <v>8</v>
      </c>
      <c r="E11" s="133">
        <f t="shared" ref="E11:P11" si="15">E10*E9</f>
        <v>8</v>
      </c>
      <c r="F11" s="133">
        <f t="shared" si="15"/>
        <v>9.6</v>
      </c>
      <c r="G11" s="133">
        <f t="shared" si="15"/>
        <v>12.8</v>
      </c>
      <c r="H11" s="133">
        <f t="shared" si="15"/>
        <v>14.08</v>
      </c>
      <c r="I11" s="133">
        <f t="shared" si="15"/>
        <v>15.36</v>
      </c>
      <c r="J11" s="133">
        <f t="shared" si="15"/>
        <v>16.64</v>
      </c>
      <c r="K11" s="133">
        <f t="shared" si="15"/>
        <v>17.92</v>
      </c>
      <c r="L11" s="133">
        <f t="shared" si="15"/>
        <v>19.2</v>
      </c>
      <c r="M11" s="133">
        <f t="shared" si="15"/>
        <v>20.48</v>
      </c>
      <c r="N11" s="133">
        <f t="shared" si="15"/>
        <v>21.12</v>
      </c>
      <c r="O11" s="133">
        <f t="shared" si="15"/>
        <v>19.2</v>
      </c>
      <c r="P11" s="133">
        <f t="shared" si="15"/>
        <v>19.2</v>
      </c>
      <c r="U11" s="196" t="s">
        <v>250</v>
      </c>
      <c r="V11" s="225">
        <f t="shared" ref="V11:Y11" si="16">V9+V8*V6</f>
        <v>4000</v>
      </c>
      <c r="W11" s="225">
        <f t="shared" si="16"/>
        <v>7500</v>
      </c>
      <c r="X11" s="225">
        <f t="shared" si="16"/>
        <v>14000</v>
      </c>
      <c r="Y11" s="225">
        <f t="shared" si="16"/>
        <v>22000</v>
      </c>
      <c r="Z11" s="196" t="s">
        <v>250</v>
      </c>
      <c r="AA11" s="225">
        <f t="shared" ref="AA11:AD11" si="17">AA9+AA8*AA6</f>
        <v>5000</v>
      </c>
      <c r="AB11" s="225">
        <f t="shared" si="17"/>
        <v>6750</v>
      </c>
      <c r="AC11" s="225">
        <f t="shared" si="17"/>
        <v>11000</v>
      </c>
      <c r="AD11" s="225">
        <f t="shared" si="17"/>
        <v>19000</v>
      </c>
      <c r="AE11" s="226"/>
      <c r="AF11" s="226"/>
      <c r="AG11" s="226"/>
      <c r="AH11" s="226"/>
      <c r="AI11" s="226"/>
    </row>
    <row r="12" ht="15.75" customHeight="1">
      <c r="A12" s="104" t="s">
        <v>238</v>
      </c>
      <c r="B12" s="82"/>
      <c r="D12" s="227">
        <v>7921.7</v>
      </c>
      <c r="E12" s="228">
        <f>D12</f>
        <v>7921.7</v>
      </c>
      <c r="F12" s="228">
        <v>9000.0</v>
      </c>
      <c r="G12" s="228">
        <v>9000.0</v>
      </c>
      <c r="H12" s="228">
        <v>10000.0</v>
      </c>
      <c r="I12" s="228">
        <v>10000.0</v>
      </c>
      <c r="J12" s="228">
        <v>11000.0</v>
      </c>
      <c r="K12" s="228">
        <f>J12</f>
        <v>11000</v>
      </c>
      <c r="L12" s="228">
        <v>12000.0</v>
      </c>
      <c r="M12" s="228">
        <f t="shared" ref="M12:P12" si="18">L12</f>
        <v>12000</v>
      </c>
      <c r="N12" s="228">
        <f t="shared" si="18"/>
        <v>12000</v>
      </c>
      <c r="O12" s="228">
        <f t="shared" si="18"/>
        <v>12000</v>
      </c>
      <c r="P12" s="228">
        <f t="shared" si="18"/>
        <v>12000</v>
      </c>
      <c r="U12" s="196" t="s">
        <v>251</v>
      </c>
      <c r="V12" s="197">
        <f t="shared" ref="V12:Y12" si="19">V9/V8</f>
        <v>0.1333333333</v>
      </c>
      <c r="W12" s="197">
        <f t="shared" si="19"/>
        <v>0.05714285714</v>
      </c>
      <c r="X12" s="197">
        <f t="shared" si="19"/>
        <v>0.04</v>
      </c>
      <c r="Y12" s="197">
        <f t="shared" si="19"/>
        <v>0.03333333333</v>
      </c>
      <c r="Z12" s="196" t="s">
        <v>251</v>
      </c>
      <c r="AA12" s="197">
        <f t="shared" ref="AA12:AD12" si="20">AA9/AA8</f>
        <v>0.125</v>
      </c>
      <c r="AB12" s="197">
        <f t="shared" si="20"/>
        <v>0.07142857143</v>
      </c>
      <c r="AC12" s="197">
        <f t="shared" si="20"/>
        <v>0.04166666667</v>
      </c>
      <c r="AD12" s="197">
        <f t="shared" si="20"/>
        <v>0.03571428571</v>
      </c>
      <c r="AE12" s="197"/>
      <c r="AF12" s="197"/>
      <c r="AG12" s="197"/>
      <c r="AH12" s="197"/>
      <c r="AI12" s="197"/>
    </row>
    <row r="13" ht="15.75" customHeight="1">
      <c r="A13" s="229" t="s">
        <v>252</v>
      </c>
      <c r="B13" s="230">
        <f>SUM(E13:P13)</f>
        <v>2129933.6</v>
      </c>
      <c r="C13" s="231">
        <f>AVERAGE(E13:P13)</f>
        <v>177494.4667</v>
      </c>
      <c r="D13" s="232">
        <f>AVERAGE(E12:P12)</f>
        <v>10660.14167</v>
      </c>
      <c r="E13" s="231">
        <f t="shared" ref="E13:P13" si="21">E12*E11</f>
        <v>63373.6</v>
      </c>
      <c r="F13" s="231">
        <f t="shared" si="21"/>
        <v>86400</v>
      </c>
      <c r="G13" s="231">
        <f t="shared" si="21"/>
        <v>115200</v>
      </c>
      <c r="H13" s="231">
        <f t="shared" si="21"/>
        <v>140800</v>
      </c>
      <c r="I13" s="231">
        <f t="shared" si="21"/>
        <v>153600</v>
      </c>
      <c r="J13" s="231">
        <f t="shared" si="21"/>
        <v>183040</v>
      </c>
      <c r="K13" s="231">
        <f t="shared" si="21"/>
        <v>197120</v>
      </c>
      <c r="L13" s="231">
        <f t="shared" si="21"/>
        <v>230400</v>
      </c>
      <c r="M13" s="231">
        <f t="shared" si="21"/>
        <v>245760</v>
      </c>
      <c r="N13" s="231">
        <f t="shared" si="21"/>
        <v>253440</v>
      </c>
      <c r="O13" s="231">
        <f t="shared" si="21"/>
        <v>230400</v>
      </c>
      <c r="P13" s="231">
        <f t="shared" si="21"/>
        <v>230400</v>
      </c>
      <c r="U13" s="233" t="s">
        <v>253</v>
      </c>
      <c r="V13" s="225">
        <f t="shared" ref="V13:Y13" si="22">V8-V11</f>
        <v>26000</v>
      </c>
      <c r="W13" s="225">
        <f t="shared" si="22"/>
        <v>62500</v>
      </c>
      <c r="X13" s="225">
        <f t="shared" si="22"/>
        <v>86000</v>
      </c>
      <c r="Y13" s="225">
        <f t="shared" si="22"/>
        <v>98000</v>
      </c>
      <c r="Z13" s="233" t="s">
        <v>253</v>
      </c>
      <c r="AA13" s="225">
        <f t="shared" ref="AA13:AD13" si="23">AA8-AA11</f>
        <v>35000</v>
      </c>
      <c r="AB13" s="225">
        <f t="shared" si="23"/>
        <v>63250</v>
      </c>
      <c r="AC13" s="225">
        <f t="shared" si="23"/>
        <v>109000</v>
      </c>
      <c r="AD13" s="225">
        <f t="shared" si="23"/>
        <v>121000</v>
      </c>
      <c r="AE13" s="226"/>
      <c r="AF13" s="226"/>
      <c r="AG13" s="226"/>
      <c r="AH13" s="226"/>
      <c r="AI13" s="226"/>
    </row>
    <row r="14" ht="15.75" customHeight="1">
      <c r="A14" s="234" t="s">
        <v>254</v>
      </c>
      <c r="B14" s="235"/>
      <c r="C14" s="236"/>
      <c r="D14" s="237"/>
      <c r="E14" s="236">
        <f t="shared" ref="E14:P14" si="24">E13/4</f>
        <v>15843.4</v>
      </c>
      <c r="F14" s="236">
        <f t="shared" si="24"/>
        <v>21600</v>
      </c>
      <c r="G14" s="236">
        <f t="shared" si="24"/>
        <v>28800</v>
      </c>
      <c r="H14" s="236">
        <f t="shared" si="24"/>
        <v>35200</v>
      </c>
      <c r="I14" s="236">
        <f t="shared" si="24"/>
        <v>38400</v>
      </c>
      <c r="J14" s="236">
        <f t="shared" si="24"/>
        <v>45760</v>
      </c>
      <c r="K14" s="236">
        <f t="shared" si="24"/>
        <v>49280</v>
      </c>
      <c r="L14" s="236">
        <f t="shared" si="24"/>
        <v>57600</v>
      </c>
      <c r="M14" s="236">
        <f t="shared" si="24"/>
        <v>61440</v>
      </c>
      <c r="N14" s="236">
        <f t="shared" si="24"/>
        <v>63360</v>
      </c>
      <c r="O14" s="236">
        <f t="shared" si="24"/>
        <v>57600</v>
      </c>
      <c r="P14" s="236">
        <f t="shared" si="24"/>
        <v>57600</v>
      </c>
      <c r="U14" s="196" t="s">
        <v>255</v>
      </c>
      <c r="V14" s="202">
        <f t="shared" ref="V14:Y14" si="25">25%*V8</f>
        <v>7500</v>
      </c>
      <c r="W14" s="202">
        <f t="shared" si="25"/>
        <v>17500</v>
      </c>
      <c r="X14" s="202">
        <f t="shared" si="25"/>
        <v>25000</v>
      </c>
      <c r="Y14" s="202">
        <f t="shared" si="25"/>
        <v>30000</v>
      </c>
      <c r="Z14" s="196" t="s">
        <v>255</v>
      </c>
      <c r="AA14" s="202">
        <f t="shared" ref="AA14:AD14" si="26">25%*AA8</f>
        <v>10000</v>
      </c>
      <c r="AB14" s="202">
        <f t="shared" si="26"/>
        <v>17500</v>
      </c>
      <c r="AC14" s="202">
        <f t="shared" si="26"/>
        <v>30000</v>
      </c>
      <c r="AD14" s="202">
        <f t="shared" si="26"/>
        <v>35000</v>
      </c>
      <c r="AE14" s="224"/>
      <c r="AF14" s="224"/>
      <c r="AG14" s="224"/>
      <c r="AH14" s="224"/>
      <c r="AI14" s="224"/>
    </row>
    <row r="15" ht="15.75" customHeight="1">
      <c r="A15" s="234" t="s">
        <v>256</v>
      </c>
      <c r="B15" s="235"/>
      <c r="C15" s="236"/>
      <c r="D15" s="237"/>
      <c r="E15" s="236"/>
      <c r="F15" s="236">
        <f t="shared" ref="F15:P15" si="27">E14</f>
        <v>15843.4</v>
      </c>
      <c r="G15" s="236">
        <f t="shared" si="27"/>
        <v>21600</v>
      </c>
      <c r="H15" s="236">
        <f t="shared" si="27"/>
        <v>28800</v>
      </c>
      <c r="I15" s="236">
        <f t="shared" si="27"/>
        <v>35200</v>
      </c>
      <c r="J15" s="236">
        <f t="shared" si="27"/>
        <v>38400</v>
      </c>
      <c r="K15" s="236">
        <f t="shared" si="27"/>
        <v>45760</v>
      </c>
      <c r="L15" s="236">
        <f t="shared" si="27"/>
        <v>49280</v>
      </c>
      <c r="M15" s="236">
        <f t="shared" si="27"/>
        <v>57600</v>
      </c>
      <c r="N15" s="236">
        <f t="shared" si="27"/>
        <v>61440</v>
      </c>
      <c r="O15" s="236">
        <f t="shared" si="27"/>
        <v>63360</v>
      </c>
      <c r="P15" s="236">
        <f t="shared" si="27"/>
        <v>57600</v>
      </c>
      <c r="U15" s="196" t="s">
        <v>257</v>
      </c>
      <c r="V15" s="202">
        <f t="shared" ref="V15:Y15" si="28">V14-V11</f>
        <v>3500</v>
      </c>
      <c r="W15" s="202">
        <f t="shared" si="28"/>
        <v>10000</v>
      </c>
      <c r="X15" s="202">
        <f t="shared" si="28"/>
        <v>11000</v>
      </c>
      <c r="Y15" s="202">
        <f t="shared" si="28"/>
        <v>8000</v>
      </c>
      <c r="Z15" s="196" t="s">
        <v>257</v>
      </c>
      <c r="AA15" s="202">
        <f t="shared" ref="AA15:AD15" si="29">AA14-AA11</f>
        <v>5000</v>
      </c>
      <c r="AB15" s="202">
        <f t="shared" si="29"/>
        <v>10750</v>
      </c>
      <c r="AC15" s="202">
        <f t="shared" si="29"/>
        <v>19000</v>
      </c>
      <c r="AD15" s="202">
        <f t="shared" si="29"/>
        <v>16000</v>
      </c>
      <c r="AE15" s="224"/>
      <c r="AF15" s="224"/>
      <c r="AG15" s="224"/>
      <c r="AH15" s="224"/>
      <c r="AI15" s="224"/>
    </row>
    <row r="16" ht="15.75" customHeight="1">
      <c r="A16" s="234" t="s">
        <v>258</v>
      </c>
      <c r="B16" s="235"/>
      <c r="C16" s="236"/>
      <c r="D16" s="237"/>
      <c r="E16" s="236"/>
      <c r="F16" s="236"/>
      <c r="G16" s="236">
        <f t="shared" ref="G16:P16" si="30">F15</f>
        <v>15843.4</v>
      </c>
      <c r="H16" s="236">
        <f t="shared" si="30"/>
        <v>21600</v>
      </c>
      <c r="I16" s="236">
        <f t="shared" si="30"/>
        <v>28800</v>
      </c>
      <c r="J16" s="236">
        <f t="shared" si="30"/>
        <v>35200</v>
      </c>
      <c r="K16" s="236">
        <f t="shared" si="30"/>
        <v>38400</v>
      </c>
      <c r="L16" s="236">
        <f t="shared" si="30"/>
        <v>45760</v>
      </c>
      <c r="M16" s="236">
        <f t="shared" si="30"/>
        <v>49280</v>
      </c>
      <c r="N16" s="236">
        <f t="shared" si="30"/>
        <v>57600</v>
      </c>
      <c r="O16" s="236">
        <f t="shared" si="30"/>
        <v>61440</v>
      </c>
      <c r="P16" s="236">
        <f t="shared" si="30"/>
        <v>63360</v>
      </c>
    </row>
    <row r="17" ht="15.75" customHeight="1">
      <c r="A17" s="234" t="s">
        <v>259</v>
      </c>
      <c r="B17" s="235"/>
      <c r="C17" s="236"/>
      <c r="D17" s="237"/>
      <c r="E17" s="236"/>
      <c r="F17" s="236"/>
      <c r="G17" s="236"/>
      <c r="H17" s="236">
        <f t="shared" ref="H17:P17" si="31">G16</f>
        <v>15843.4</v>
      </c>
      <c r="I17" s="236">
        <f t="shared" si="31"/>
        <v>21600</v>
      </c>
      <c r="J17" s="236">
        <f t="shared" si="31"/>
        <v>28800</v>
      </c>
      <c r="K17" s="236">
        <f t="shared" si="31"/>
        <v>35200</v>
      </c>
      <c r="L17" s="236">
        <f t="shared" si="31"/>
        <v>38400</v>
      </c>
      <c r="M17" s="236">
        <f t="shared" si="31"/>
        <v>45760</v>
      </c>
      <c r="N17" s="236">
        <f t="shared" si="31"/>
        <v>49280</v>
      </c>
      <c r="O17" s="236">
        <f t="shared" si="31"/>
        <v>57600</v>
      </c>
      <c r="P17" s="236">
        <f t="shared" si="31"/>
        <v>61440</v>
      </c>
    </row>
    <row r="18" ht="15.75" customHeight="1">
      <c r="A18" s="238" t="s">
        <v>260</v>
      </c>
      <c r="B18" s="239"/>
      <c r="C18" s="240"/>
      <c r="D18" s="241"/>
      <c r="E18" s="242">
        <f t="shared" ref="E18:P18" si="32">SUM(E14:E17)</f>
        <v>15843.4</v>
      </c>
      <c r="F18" s="242">
        <f t="shared" si="32"/>
        <v>37443.4</v>
      </c>
      <c r="G18" s="242">
        <f t="shared" si="32"/>
        <v>66243.4</v>
      </c>
      <c r="H18" s="242">
        <f t="shared" si="32"/>
        <v>101443.4</v>
      </c>
      <c r="I18" s="242">
        <f t="shared" si="32"/>
        <v>124000</v>
      </c>
      <c r="J18" s="242">
        <f t="shared" si="32"/>
        <v>148160</v>
      </c>
      <c r="K18" s="242">
        <f t="shared" si="32"/>
        <v>168640</v>
      </c>
      <c r="L18" s="242">
        <f t="shared" si="32"/>
        <v>191040</v>
      </c>
      <c r="M18" s="242">
        <f t="shared" si="32"/>
        <v>214080</v>
      </c>
      <c r="N18" s="242">
        <f t="shared" si="32"/>
        <v>231680</v>
      </c>
      <c r="O18" s="242">
        <f t="shared" si="32"/>
        <v>240000</v>
      </c>
      <c r="P18" s="242">
        <f t="shared" si="32"/>
        <v>240000</v>
      </c>
      <c r="AA18" s="191">
        <v>8.0</v>
      </c>
      <c r="AB18" s="191">
        <v>14.0</v>
      </c>
      <c r="AC18" s="191">
        <v>24.0</v>
      </c>
      <c r="AD18" s="191">
        <v>28.0</v>
      </c>
    </row>
    <row r="19" ht="15.75" customHeight="1">
      <c r="A19" s="104" t="s">
        <v>261</v>
      </c>
      <c r="B19" s="98"/>
      <c r="C19" s="80"/>
      <c r="D19" s="211">
        <v>1.0</v>
      </c>
      <c r="E19" s="133">
        <f>E11</f>
        <v>8</v>
      </c>
      <c r="F19" s="133">
        <f t="shared" ref="F19:P19" si="33">F11+E19</f>
        <v>17.6</v>
      </c>
      <c r="G19" s="133">
        <f t="shared" si="33"/>
        <v>30.4</v>
      </c>
      <c r="H19" s="133">
        <f t="shared" si="33"/>
        <v>44.48</v>
      </c>
      <c r="I19" s="133">
        <f t="shared" si="33"/>
        <v>59.84</v>
      </c>
      <c r="J19" s="133">
        <f t="shared" si="33"/>
        <v>76.48</v>
      </c>
      <c r="K19" s="133">
        <f t="shared" si="33"/>
        <v>94.4</v>
      </c>
      <c r="L19" s="133">
        <f t="shared" si="33"/>
        <v>113.6</v>
      </c>
      <c r="M19" s="133">
        <f t="shared" si="33"/>
        <v>134.08</v>
      </c>
      <c r="N19" s="133">
        <f t="shared" si="33"/>
        <v>155.2</v>
      </c>
      <c r="O19" s="133">
        <f t="shared" si="33"/>
        <v>174.4</v>
      </c>
      <c r="P19" s="133">
        <f t="shared" si="33"/>
        <v>193.6</v>
      </c>
      <c r="AA19" s="191" t="s">
        <v>262</v>
      </c>
      <c r="AB19" s="191" t="s">
        <v>263</v>
      </c>
      <c r="AC19" s="191" t="s">
        <v>264</v>
      </c>
      <c r="AD19" s="191" t="s">
        <v>265</v>
      </c>
    </row>
    <row r="20" ht="15.75" customHeight="1">
      <c r="A20" s="104" t="s">
        <v>266</v>
      </c>
      <c r="B20" s="98"/>
      <c r="C20" s="154"/>
      <c r="D20" s="211"/>
      <c r="E20" s="154">
        <f>E13</f>
        <v>63373.6</v>
      </c>
      <c r="F20" s="154">
        <f t="shared" ref="F20:P20" si="34">F13+E20</f>
        <v>149773.6</v>
      </c>
      <c r="G20" s="154">
        <f t="shared" si="34"/>
        <v>264973.6</v>
      </c>
      <c r="H20" s="154">
        <f t="shared" si="34"/>
        <v>405773.6</v>
      </c>
      <c r="I20" s="154">
        <f t="shared" si="34"/>
        <v>559373.6</v>
      </c>
      <c r="J20" s="154">
        <f t="shared" si="34"/>
        <v>742413.6</v>
      </c>
      <c r="K20" s="154">
        <f t="shared" si="34"/>
        <v>939533.6</v>
      </c>
      <c r="L20" s="154">
        <f t="shared" si="34"/>
        <v>1169933.6</v>
      </c>
      <c r="M20" s="154">
        <f t="shared" si="34"/>
        <v>1415693.6</v>
      </c>
      <c r="N20" s="154">
        <f t="shared" si="34"/>
        <v>1669133.6</v>
      </c>
      <c r="O20" s="154">
        <f t="shared" si="34"/>
        <v>1899533.6</v>
      </c>
      <c r="P20" s="154">
        <f t="shared" si="34"/>
        <v>2129933.6</v>
      </c>
      <c r="AB20" s="196">
        <v>10000.0</v>
      </c>
      <c r="AC20" s="196">
        <v>19000.0</v>
      </c>
    </row>
    <row r="21" ht="15.75" customHeight="1">
      <c r="A21" s="104" t="s">
        <v>267</v>
      </c>
      <c r="B21" s="98"/>
      <c r="C21" s="80"/>
      <c r="D21" s="175">
        <f>AVERAGE(E13:P13)</f>
        <v>177494.4667</v>
      </c>
      <c r="E21" s="154">
        <f t="shared" ref="E21:P21" si="35">E4*$D$21</f>
        <v>45533.02233</v>
      </c>
      <c r="F21" s="154">
        <f t="shared" si="35"/>
        <v>96125.26936</v>
      </c>
      <c r="G21" s="154">
        <f t="shared" si="35"/>
        <v>27825.73587</v>
      </c>
      <c r="H21" s="154">
        <f t="shared" si="35"/>
        <v>192250.5387</v>
      </c>
      <c r="I21" s="154">
        <f t="shared" si="35"/>
        <v>161895.1905</v>
      </c>
      <c r="J21" s="154">
        <f t="shared" si="35"/>
        <v>194780.1511</v>
      </c>
      <c r="K21" s="154">
        <f t="shared" si="35"/>
        <v>177072.8646</v>
      </c>
      <c r="L21" s="154">
        <f t="shared" si="35"/>
        <v>265609.2969</v>
      </c>
      <c r="M21" s="154">
        <f t="shared" si="35"/>
        <v>207428.2128</v>
      </c>
      <c r="N21" s="154">
        <f t="shared" si="35"/>
        <v>283316.5834</v>
      </c>
      <c r="O21" s="154">
        <f t="shared" si="35"/>
        <v>250431.6228</v>
      </c>
      <c r="P21" s="154">
        <f t="shared" si="35"/>
        <v>227665.1116</v>
      </c>
    </row>
    <row r="22" ht="15.75" customHeight="1">
      <c r="A22" s="243" t="s">
        <v>268</v>
      </c>
      <c r="B22" s="244"/>
      <c r="C22" s="245"/>
      <c r="D22" s="246">
        <v>0.05</v>
      </c>
      <c r="E22" s="247">
        <f t="shared" ref="E22:P22" si="36">$D$22*E13</f>
        <v>3168.68</v>
      </c>
      <c r="F22" s="247">
        <f t="shared" si="36"/>
        <v>4320</v>
      </c>
      <c r="G22" s="247">
        <f t="shared" si="36"/>
        <v>5760</v>
      </c>
      <c r="H22" s="247">
        <f t="shared" si="36"/>
        <v>7040</v>
      </c>
      <c r="I22" s="247">
        <f t="shared" si="36"/>
        <v>7680</v>
      </c>
      <c r="J22" s="247">
        <f t="shared" si="36"/>
        <v>9152</v>
      </c>
      <c r="K22" s="247">
        <f t="shared" si="36"/>
        <v>9856</v>
      </c>
      <c r="L22" s="247">
        <f t="shared" si="36"/>
        <v>11520</v>
      </c>
      <c r="M22" s="247">
        <f t="shared" si="36"/>
        <v>12288</v>
      </c>
      <c r="N22" s="247">
        <f t="shared" si="36"/>
        <v>12672</v>
      </c>
      <c r="O22" s="247">
        <f t="shared" si="36"/>
        <v>11520</v>
      </c>
      <c r="P22" s="247">
        <f t="shared" si="36"/>
        <v>11520</v>
      </c>
      <c r="T22" s="247">
        <f>$D$22*T13</f>
        <v>0</v>
      </c>
      <c r="U22" s="248"/>
      <c r="V22" s="248"/>
      <c r="W22" s="248"/>
      <c r="X22" s="248"/>
      <c r="Y22" s="248"/>
      <c r="Z22" s="248"/>
      <c r="AA22" s="249"/>
      <c r="AB22" s="249"/>
      <c r="AC22" s="249"/>
      <c r="AD22" s="249"/>
      <c r="AE22" s="249"/>
      <c r="AF22" s="249"/>
      <c r="AG22" s="249"/>
      <c r="AH22" s="249"/>
      <c r="AI22" s="249"/>
    </row>
    <row r="23" ht="15.75" customHeight="1">
      <c r="A23" s="250" t="s">
        <v>269</v>
      </c>
      <c r="B23" s="244"/>
      <c r="C23" s="245"/>
      <c r="D23" s="251">
        <f t="shared" ref="D23:D26" si="38">D22</f>
        <v>0.05</v>
      </c>
      <c r="E23" s="252">
        <f t="shared" ref="E23:P23" si="37">E22/4</f>
        <v>792.17</v>
      </c>
      <c r="F23" s="252">
        <f t="shared" si="37"/>
        <v>1080</v>
      </c>
      <c r="G23" s="252">
        <f t="shared" si="37"/>
        <v>1440</v>
      </c>
      <c r="H23" s="252">
        <f t="shared" si="37"/>
        <v>1760</v>
      </c>
      <c r="I23" s="252">
        <f t="shared" si="37"/>
        <v>1920</v>
      </c>
      <c r="J23" s="252">
        <f t="shared" si="37"/>
        <v>2288</v>
      </c>
      <c r="K23" s="252">
        <f t="shared" si="37"/>
        <v>2464</v>
      </c>
      <c r="L23" s="252">
        <f t="shared" si="37"/>
        <v>2880</v>
      </c>
      <c r="M23" s="252">
        <f t="shared" si="37"/>
        <v>3072</v>
      </c>
      <c r="N23" s="252">
        <f t="shared" si="37"/>
        <v>3168</v>
      </c>
      <c r="O23" s="252">
        <f t="shared" si="37"/>
        <v>2880</v>
      </c>
      <c r="P23" s="252">
        <f t="shared" si="37"/>
        <v>2880</v>
      </c>
      <c r="T23" s="252">
        <f>T22/4</f>
        <v>0</v>
      </c>
      <c r="U23" s="248"/>
      <c r="V23" s="248"/>
      <c r="W23" s="248"/>
      <c r="X23" s="248"/>
      <c r="Y23" s="248"/>
      <c r="Z23" s="248"/>
      <c r="AA23" s="249"/>
      <c r="AB23" s="249"/>
      <c r="AC23" s="249"/>
      <c r="AD23" s="249"/>
      <c r="AE23" s="249"/>
      <c r="AF23" s="249"/>
      <c r="AG23" s="249"/>
      <c r="AH23" s="249"/>
      <c r="AI23" s="249"/>
    </row>
    <row r="24" ht="15.75" customHeight="1">
      <c r="A24" s="250" t="s">
        <v>270</v>
      </c>
      <c r="B24" s="244"/>
      <c r="C24" s="245"/>
      <c r="D24" s="251">
        <f t="shared" si="38"/>
        <v>0.05</v>
      </c>
      <c r="E24" s="252"/>
      <c r="F24" s="252">
        <f t="shared" ref="F24:P24" si="39">E22/4</f>
        <v>792.17</v>
      </c>
      <c r="G24" s="252">
        <f t="shared" si="39"/>
        <v>1080</v>
      </c>
      <c r="H24" s="252">
        <f t="shared" si="39"/>
        <v>1440</v>
      </c>
      <c r="I24" s="252">
        <f t="shared" si="39"/>
        <v>1760</v>
      </c>
      <c r="J24" s="252">
        <f t="shared" si="39"/>
        <v>1920</v>
      </c>
      <c r="K24" s="252">
        <f t="shared" si="39"/>
        <v>2288</v>
      </c>
      <c r="L24" s="252">
        <f t="shared" si="39"/>
        <v>2464</v>
      </c>
      <c r="M24" s="252">
        <f t="shared" si="39"/>
        <v>2880</v>
      </c>
      <c r="N24" s="252">
        <f t="shared" si="39"/>
        <v>3072</v>
      </c>
      <c r="O24" s="252">
        <f t="shared" si="39"/>
        <v>3168</v>
      </c>
      <c r="P24" s="252">
        <f t="shared" si="39"/>
        <v>2880</v>
      </c>
      <c r="T24" s="252">
        <f>S22/4</f>
        <v>0</v>
      </c>
      <c r="U24" s="248"/>
      <c r="V24" s="248"/>
      <c r="W24" s="248"/>
      <c r="X24" s="248"/>
      <c r="Y24" s="248"/>
      <c r="Z24" s="248"/>
      <c r="AA24" s="249"/>
      <c r="AB24" s="249"/>
      <c r="AC24" s="249"/>
      <c r="AD24" s="249"/>
      <c r="AE24" s="249"/>
      <c r="AF24" s="249"/>
      <c r="AG24" s="249"/>
      <c r="AH24" s="249"/>
      <c r="AI24" s="249"/>
    </row>
    <row r="25" ht="15.75" customHeight="1">
      <c r="A25" s="250" t="s">
        <v>271</v>
      </c>
      <c r="B25" s="244"/>
      <c r="C25" s="245"/>
      <c r="D25" s="251">
        <f t="shared" si="38"/>
        <v>0.05</v>
      </c>
      <c r="E25" s="252"/>
      <c r="F25" s="252"/>
      <c r="G25" s="252">
        <f t="shared" ref="G25:P25" si="40">E22/4</f>
        <v>792.17</v>
      </c>
      <c r="H25" s="252">
        <f t="shared" si="40"/>
        <v>1080</v>
      </c>
      <c r="I25" s="252">
        <f t="shared" si="40"/>
        <v>1440</v>
      </c>
      <c r="J25" s="252">
        <f t="shared" si="40"/>
        <v>1760</v>
      </c>
      <c r="K25" s="252">
        <f t="shared" si="40"/>
        <v>1920</v>
      </c>
      <c r="L25" s="252">
        <f t="shared" si="40"/>
        <v>2288</v>
      </c>
      <c r="M25" s="252">
        <f t="shared" si="40"/>
        <v>2464</v>
      </c>
      <c r="N25" s="252">
        <f t="shared" si="40"/>
        <v>2880</v>
      </c>
      <c r="O25" s="252">
        <f t="shared" si="40"/>
        <v>3072</v>
      </c>
      <c r="P25" s="252">
        <f t="shared" si="40"/>
        <v>3168</v>
      </c>
      <c r="T25" s="252">
        <f>R22/4</f>
        <v>0</v>
      </c>
      <c r="U25" s="248"/>
      <c r="V25" s="248"/>
      <c r="W25" s="248"/>
      <c r="X25" s="248"/>
      <c r="Y25" s="248"/>
      <c r="Z25" s="248"/>
      <c r="AA25" s="249"/>
      <c r="AB25" s="249"/>
      <c r="AC25" s="249"/>
      <c r="AD25" s="249"/>
      <c r="AE25" s="249"/>
      <c r="AF25" s="249"/>
      <c r="AG25" s="249"/>
      <c r="AH25" s="249"/>
      <c r="AI25" s="249"/>
    </row>
    <row r="26" ht="15.75" customHeight="1">
      <c r="A26" s="250" t="s">
        <v>272</v>
      </c>
      <c r="B26" s="244"/>
      <c r="C26" s="245"/>
      <c r="D26" s="251">
        <f t="shared" si="38"/>
        <v>0.05</v>
      </c>
      <c r="E26" s="252"/>
      <c r="F26" s="252"/>
      <c r="G26" s="252"/>
      <c r="H26" s="252">
        <f t="shared" ref="H26:P26" si="41">E22/4</f>
        <v>792.17</v>
      </c>
      <c r="I26" s="252">
        <f t="shared" si="41"/>
        <v>1080</v>
      </c>
      <c r="J26" s="252">
        <f t="shared" si="41"/>
        <v>1440</v>
      </c>
      <c r="K26" s="252">
        <f t="shared" si="41"/>
        <v>1760</v>
      </c>
      <c r="L26" s="252">
        <f t="shared" si="41"/>
        <v>1920</v>
      </c>
      <c r="M26" s="252">
        <f t="shared" si="41"/>
        <v>2288</v>
      </c>
      <c r="N26" s="252">
        <f t="shared" si="41"/>
        <v>2464</v>
      </c>
      <c r="O26" s="252">
        <f t="shared" si="41"/>
        <v>2880</v>
      </c>
      <c r="P26" s="252">
        <f t="shared" si="41"/>
        <v>3072</v>
      </c>
      <c r="T26" s="252">
        <f>Q22/4</f>
        <v>0</v>
      </c>
      <c r="U26" s="248"/>
      <c r="V26" s="248"/>
      <c r="W26" s="248"/>
      <c r="X26" s="248"/>
      <c r="Y26" s="248"/>
      <c r="Z26" s="248"/>
      <c r="AA26" s="249"/>
      <c r="AB26" s="249"/>
      <c r="AC26" s="249"/>
      <c r="AD26" s="249"/>
      <c r="AE26" s="249"/>
      <c r="AF26" s="249"/>
      <c r="AG26" s="249"/>
      <c r="AH26" s="249"/>
      <c r="AI26" s="249"/>
    </row>
    <row r="27" ht="15.75" customHeight="1">
      <c r="A27" s="253" t="s">
        <v>273</v>
      </c>
      <c r="B27" s="254"/>
      <c r="C27" s="255"/>
      <c r="D27" s="256"/>
      <c r="E27" s="257">
        <f t="shared" ref="E27:P27" si="42">SUM(E23:E26)</f>
        <v>792.17</v>
      </c>
      <c r="F27" s="257">
        <f t="shared" si="42"/>
        <v>1872.17</v>
      </c>
      <c r="G27" s="257">
        <f t="shared" si="42"/>
        <v>3312.17</v>
      </c>
      <c r="H27" s="257">
        <f t="shared" si="42"/>
        <v>5072.17</v>
      </c>
      <c r="I27" s="257">
        <f t="shared" si="42"/>
        <v>6200</v>
      </c>
      <c r="J27" s="257">
        <f t="shared" si="42"/>
        <v>7408</v>
      </c>
      <c r="K27" s="257">
        <f t="shared" si="42"/>
        <v>8432</v>
      </c>
      <c r="L27" s="257">
        <f t="shared" si="42"/>
        <v>9552</v>
      </c>
      <c r="M27" s="257">
        <f t="shared" si="42"/>
        <v>10704</v>
      </c>
      <c r="N27" s="257">
        <f t="shared" si="42"/>
        <v>11584</v>
      </c>
      <c r="O27" s="257">
        <f t="shared" si="42"/>
        <v>12000</v>
      </c>
      <c r="P27" s="257">
        <f t="shared" si="42"/>
        <v>12000</v>
      </c>
      <c r="T27" s="257">
        <f>SUM(T23:T26)</f>
        <v>0</v>
      </c>
      <c r="U27" s="258"/>
      <c r="V27" s="258"/>
      <c r="W27" s="258"/>
      <c r="X27" s="258"/>
      <c r="Y27" s="258"/>
      <c r="Z27" s="258"/>
      <c r="AA27" s="259"/>
      <c r="AB27" s="259"/>
      <c r="AC27" s="259"/>
      <c r="AD27" s="259"/>
      <c r="AE27" s="259"/>
      <c r="AF27" s="259"/>
      <c r="AG27" s="259"/>
      <c r="AH27" s="259"/>
      <c r="AI27" s="259"/>
    </row>
    <row r="28" ht="15.75" customHeight="1">
      <c r="A28" s="253" t="s">
        <v>274</v>
      </c>
      <c r="B28" s="254"/>
      <c r="C28" s="255"/>
      <c r="D28" s="256"/>
      <c r="E28" s="260">
        <f t="shared" ref="E28:P28" si="43">E27/E18</f>
        <v>0.05</v>
      </c>
      <c r="F28" s="260">
        <f t="shared" si="43"/>
        <v>0.05</v>
      </c>
      <c r="G28" s="260">
        <f t="shared" si="43"/>
        <v>0.05</v>
      </c>
      <c r="H28" s="260">
        <f t="shared" si="43"/>
        <v>0.05</v>
      </c>
      <c r="I28" s="260">
        <f t="shared" si="43"/>
        <v>0.05</v>
      </c>
      <c r="J28" s="260">
        <f t="shared" si="43"/>
        <v>0.05</v>
      </c>
      <c r="K28" s="260">
        <f t="shared" si="43"/>
        <v>0.05</v>
      </c>
      <c r="L28" s="260">
        <f t="shared" si="43"/>
        <v>0.05</v>
      </c>
      <c r="M28" s="260">
        <f t="shared" si="43"/>
        <v>0.05</v>
      </c>
      <c r="N28" s="260">
        <f t="shared" si="43"/>
        <v>0.05</v>
      </c>
      <c r="O28" s="260">
        <f t="shared" si="43"/>
        <v>0.05</v>
      </c>
      <c r="P28" s="260">
        <f t="shared" si="43"/>
        <v>0.05</v>
      </c>
      <c r="T28" s="257"/>
      <c r="U28" s="258"/>
      <c r="V28" s="258"/>
      <c r="W28" s="258"/>
      <c r="X28" s="258"/>
      <c r="Y28" s="258"/>
      <c r="Z28" s="258"/>
      <c r="AA28" s="259"/>
      <c r="AB28" s="259"/>
      <c r="AC28" s="259"/>
      <c r="AD28" s="259"/>
      <c r="AE28" s="259"/>
      <c r="AF28" s="259"/>
      <c r="AG28" s="259"/>
      <c r="AH28" s="259"/>
      <c r="AI28" s="259"/>
    </row>
    <row r="29" ht="15.75" customHeight="1">
      <c r="A29" s="261" t="s">
        <v>275</v>
      </c>
      <c r="B29" s="262"/>
      <c r="C29" s="263" t="s">
        <v>276</v>
      </c>
      <c r="D29" s="264">
        <v>0.16</v>
      </c>
      <c r="E29" s="265">
        <v>0.12798836429137248</v>
      </c>
      <c r="F29" s="265">
        <v>0.13048797423539427</v>
      </c>
      <c r="G29" s="265">
        <v>0.13235981434365854</v>
      </c>
      <c r="H29" s="265">
        <v>0.13442758357373347</v>
      </c>
      <c r="I29" s="265">
        <v>0.1362360594310082</v>
      </c>
      <c r="J29" s="265">
        <v>0.13803785038148242</v>
      </c>
      <c r="K29" s="265">
        <v>0.1399797192379001</v>
      </c>
      <c r="L29" s="265">
        <v>0.1450674200689281</v>
      </c>
      <c r="M29" s="265">
        <v>0.15081250880567237</v>
      </c>
      <c r="N29" s="265">
        <v>0.15635105360145252</v>
      </c>
      <c r="O29" s="265">
        <v>0.16086615077813446</v>
      </c>
      <c r="P29" s="265">
        <v>0.16495482728464753</v>
      </c>
      <c r="T29" s="266"/>
      <c r="U29" s="266"/>
      <c r="V29" s="266"/>
      <c r="W29" s="266"/>
      <c r="X29" s="266"/>
      <c r="Y29" s="266"/>
      <c r="Z29" s="266"/>
      <c r="AA29" s="267"/>
      <c r="AB29" s="267"/>
      <c r="AC29" s="267"/>
      <c r="AD29" s="267"/>
      <c r="AE29" s="267"/>
      <c r="AF29" s="267"/>
      <c r="AG29" s="267"/>
      <c r="AH29" s="267"/>
      <c r="AI29" s="267"/>
    </row>
    <row r="30" ht="15.75" customHeight="1">
      <c r="A30" s="268" t="s">
        <v>277</v>
      </c>
      <c r="B30" s="269"/>
      <c r="C30" s="270"/>
      <c r="D30" s="271">
        <v>0.1</v>
      </c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T30" s="272"/>
      <c r="U30" s="272"/>
      <c r="V30" s="272"/>
      <c r="W30" s="272"/>
      <c r="X30" s="272"/>
      <c r="Y30" s="272"/>
      <c r="Z30" s="272"/>
      <c r="AA30" s="272"/>
      <c r="AB30" s="272"/>
      <c r="AC30" s="272"/>
      <c r="AD30" s="272"/>
      <c r="AE30" s="272"/>
      <c r="AF30" s="272"/>
      <c r="AG30" s="272"/>
      <c r="AH30" s="272"/>
      <c r="AI30" s="272"/>
    </row>
    <row r="31" ht="15.75" customHeight="1">
      <c r="A31" s="273" t="s">
        <v>278</v>
      </c>
      <c r="B31" s="269"/>
      <c r="C31" s="270"/>
      <c r="D31" s="274">
        <f t="shared" ref="D31:D35" si="44">D30</f>
        <v>0.1</v>
      </c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T31" s="272"/>
      <c r="U31" s="272"/>
      <c r="V31" s="272"/>
      <c r="W31" s="272"/>
      <c r="X31" s="272"/>
      <c r="Y31" s="272"/>
      <c r="Z31" s="272"/>
      <c r="AA31" s="272"/>
      <c r="AB31" s="272"/>
      <c r="AC31" s="272"/>
      <c r="AD31" s="272"/>
      <c r="AE31" s="272"/>
      <c r="AF31" s="272"/>
      <c r="AG31" s="272"/>
      <c r="AH31" s="272"/>
      <c r="AI31" s="272"/>
    </row>
    <row r="32" ht="15.75" customHeight="1">
      <c r="A32" s="273" t="s">
        <v>279</v>
      </c>
      <c r="B32" s="269"/>
      <c r="C32" s="270"/>
      <c r="D32" s="274">
        <f t="shared" si="44"/>
        <v>0.1</v>
      </c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T32" s="272"/>
      <c r="U32" s="272"/>
      <c r="V32" s="272"/>
      <c r="W32" s="272"/>
      <c r="X32" s="272"/>
      <c r="Y32" s="272"/>
      <c r="Z32" s="272"/>
      <c r="AA32" s="272"/>
      <c r="AB32" s="272"/>
      <c r="AC32" s="272"/>
      <c r="AD32" s="272"/>
      <c r="AE32" s="272"/>
      <c r="AF32" s="272"/>
      <c r="AG32" s="272"/>
      <c r="AH32" s="272"/>
      <c r="AI32" s="272"/>
    </row>
    <row r="33" ht="15.75" customHeight="1">
      <c r="A33" s="273" t="s">
        <v>280</v>
      </c>
      <c r="B33" s="269"/>
      <c r="C33" s="270"/>
      <c r="D33" s="274">
        <f t="shared" si="44"/>
        <v>0.1</v>
      </c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T33" s="272"/>
      <c r="U33" s="272"/>
      <c r="V33" s="272"/>
      <c r="W33" s="272"/>
      <c r="X33" s="272"/>
      <c r="Y33" s="272"/>
      <c r="Z33" s="272"/>
      <c r="AA33" s="272"/>
      <c r="AB33" s="272"/>
      <c r="AC33" s="272"/>
      <c r="AD33" s="272"/>
      <c r="AE33" s="272"/>
      <c r="AF33" s="272"/>
      <c r="AG33" s="272"/>
      <c r="AH33" s="272"/>
      <c r="AI33" s="272"/>
    </row>
    <row r="34" ht="15.75" customHeight="1">
      <c r="A34" s="273" t="s">
        <v>281</v>
      </c>
      <c r="B34" s="269"/>
      <c r="C34" s="270"/>
      <c r="D34" s="274">
        <f t="shared" si="44"/>
        <v>0.1</v>
      </c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T34" s="272"/>
      <c r="U34" s="272"/>
      <c r="V34" s="272"/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2"/>
      <c r="AH34" s="272"/>
      <c r="AI34" s="272"/>
    </row>
    <row r="35" ht="15.75" customHeight="1">
      <c r="A35" s="261" t="s">
        <v>282</v>
      </c>
      <c r="B35" s="262"/>
      <c r="C35" s="275"/>
      <c r="D35" s="276">
        <f t="shared" si="44"/>
        <v>0.1</v>
      </c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T35" s="267"/>
      <c r="U35" s="267"/>
      <c r="V35" s="267"/>
      <c r="W35" s="267"/>
      <c r="X35" s="267"/>
      <c r="Y35" s="267"/>
      <c r="Z35" s="267"/>
      <c r="AA35" s="267"/>
      <c r="AB35" s="267"/>
      <c r="AC35" s="267"/>
      <c r="AD35" s="267"/>
      <c r="AE35" s="267"/>
      <c r="AF35" s="267"/>
      <c r="AG35" s="267"/>
      <c r="AH35" s="267"/>
      <c r="AI35" s="267"/>
    </row>
    <row r="36" ht="15.75" customHeight="1">
      <c r="A36" s="277" t="s">
        <v>283</v>
      </c>
      <c r="B36" s="278"/>
      <c r="C36" s="279"/>
      <c r="D36" s="280">
        <f>((180)+(675/5)+700/10+500/10)</f>
        <v>435</v>
      </c>
      <c r="E36" s="281">
        <f t="shared" ref="E36:P36" si="45">$D$36*E11</f>
        <v>3480</v>
      </c>
      <c r="F36" s="281">
        <f t="shared" si="45"/>
        <v>4176</v>
      </c>
      <c r="G36" s="281">
        <f t="shared" si="45"/>
        <v>5568</v>
      </c>
      <c r="H36" s="281">
        <f t="shared" si="45"/>
        <v>6124.8</v>
      </c>
      <c r="I36" s="281">
        <f t="shared" si="45"/>
        <v>6681.6</v>
      </c>
      <c r="J36" s="281">
        <f t="shared" si="45"/>
        <v>7238.4</v>
      </c>
      <c r="K36" s="281">
        <f t="shared" si="45"/>
        <v>7795.2</v>
      </c>
      <c r="L36" s="281">
        <f t="shared" si="45"/>
        <v>8352</v>
      </c>
      <c r="M36" s="281">
        <f t="shared" si="45"/>
        <v>8908.8</v>
      </c>
      <c r="N36" s="281">
        <f t="shared" si="45"/>
        <v>9187.2</v>
      </c>
      <c r="O36" s="281">
        <f t="shared" si="45"/>
        <v>8352</v>
      </c>
      <c r="P36" s="281">
        <f t="shared" si="45"/>
        <v>8352</v>
      </c>
      <c r="T36" s="282"/>
      <c r="U36" s="282"/>
      <c r="V36" s="282"/>
      <c r="W36" s="282"/>
      <c r="X36" s="282"/>
      <c r="Y36" s="282"/>
      <c r="Z36" s="282"/>
      <c r="AA36" s="282"/>
      <c r="AB36" s="282"/>
      <c r="AC36" s="282"/>
      <c r="AD36" s="282"/>
      <c r="AE36" s="282"/>
      <c r="AF36" s="282"/>
      <c r="AG36" s="282"/>
      <c r="AH36" s="282"/>
      <c r="AI36" s="282"/>
    </row>
    <row r="37" ht="15.75" customHeight="1">
      <c r="A37" s="277"/>
      <c r="B37" s="278"/>
      <c r="C37" s="279"/>
      <c r="D37" s="283" t="s">
        <v>156</v>
      </c>
      <c r="E37" s="284">
        <f t="shared" ref="E37:P37" si="46">E36/E18</f>
        <v>0.2196498226</v>
      </c>
      <c r="F37" s="284">
        <f t="shared" si="46"/>
        <v>0.1115283334</v>
      </c>
      <c r="G37" s="284">
        <f t="shared" si="46"/>
        <v>0.08405365667</v>
      </c>
      <c r="H37" s="284">
        <f t="shared" si="46"/>
        <v>0.06037652523</v>
      </c>
      <c r="I37" s="284">
        <f t="shared" si="46"/>
        <v>0.05388387097</v>
      </c>
      <c r="J37" s="284">
        <f t="shared" si="46"/>
        <v>0.04885529158</v>
      </c>
      <c r="K37" s="284">
        <f t="shared" si="46"/>
        <v>0.04622390892</v>
      </c>
      <c r="L37" s="284">
        <f t="shared" si="46"/>
        <v>0.04371859296</v>
      </c>
      <c r="M37" s="284">
        <f t="shared" si="46"/>
        <v>0.04161434978</v>
      </c>
      <c r="N37" s="284">
        <f t="shared" si="46"/>
        <v>0.03965469613</v>
      </c>
      <c r="O37" s="284">
        <f t="shared" si="46"/>
        <v>0.0348</v>
      </c>
      <c r="P37" s="284">
        <f t="shared" si="46"/>
        <v>0.0348</v>
      </c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</row>
    <row r="38" ht="15.75" customHeight="1">
      <c r="A38" s="285" t="s">
        <v>284</v>
      </c>
      <c r="B38" s="286"/>
      <c r="C38" s="287">
        <v>0.4</v>
      </c>
      <c r="D38" s="288">
        <v>0.62</v>
      </c>
      <c r="E38" s="287">
        <f t="shared" ref="E38:P38" si="47">100%-E37-E28-E29</f>
        <v>0.6023618131</v>
      </c>
      <c r="F38" s="287">
        <f t="shared" si="47"/>
        <v>0.7079836923</v>
      </c>
      <c r="G38" s="287">
        <f t="shared" si="47"/>
        <v>0.733586529</v>
      </c>
      <c r="H38" s="287">
        <f t="shared" si="47"/>
        <v>0.7551958912</v>
      </c>
      <c r="I38" s="287">
        <f t="shared" si="47"/>
        <v>0.7598800696</v>
      </c>
      <c r="J38" s="287">
        <f t="shared" si="47"/>
        <v>0.763106858</v>
      </c>
      <c r="K38" s="287">
        <f t="shared" si="47"/>
        <v>0.7637963718</v>
      </c>
      <c r="L38" s="287">
        <f t="shared" si="47"/>
        <v>0.761213987</v>
      </c>
      <c r="M38" s="287">
        <f t="shared" si="47"/>
        <v>0.7575731414</v>
      </c>
      <c r="N38" s="287">
        <f t="shared" si="47"/>
        <v>0.7539942503</v>
      </c>
      <c r="O38" s="287">
        <f t="shared" si="47"/>
        <v>0.7543338492</v>
      </c>
      <c r="P38" s="287">
        <f t="shared" si="47"/>
        <v>0.7502451727</v>
      </c>
      <c r="T38" s="289"/>
      <c r="U38" s="289"/>
      <c r="V38" s="289"/>
      <c r="W38" s="289"/>
      <c r="X38" s="289"/>
      <c r="Y38" s="289"/>
      <c r="Z38" s="289"/>
      <c r="AA38" s="290"/>
      <c r="AB38" s="290"/>
      <c r="AC38" s="290"/>
      <c r="AD38" s="290"/>
      <c r="AE38" s="290"/>
      <c r="AF38" s="290"/>
      <c r="AG38" s="290"/>
      <c r="AH38" s="290"/>
      <c r="AI38" s="290"/>
    </row>
    <row r="39" ht="15.75" customHeight="1">
      <c r="A39" s="104" t="s">
        <v>285</v>
      </c>
      <c r="B39" s="207">
        <f>SUM(E39:P39)</f>
        <v>1596452.763</v>
      </c>
      <c r="C39" s="154">
        <f>AVERAGE(E39:P39)</f>
        <v>133037.7303</v>
      </c>
      <c r="D39" s="175">
        <f t="shared" ref="D39:P39" si="48">D38*D13</f>
        <v>6609.287833</v>
      </c>
      <c r="E39" s="158">
        <f t="shared" si="48"/>
        <v>38173.8366</v>
      </c>
      <c r="F39" s="158">
        <f t="shared" si="48"/>
        <v>61169.79102</v>
      </c>
      <c r="G39" s="158">
        <f t="shared" si="48"/>
        <v>84509.16814</v>
      </c>
      <c r="H39" s="158">
        <f t="shared" si="48"/>
        <v>106331.5815</v>
      </c>
      <c r="I39" s="158">
        <f t="shared" si="48"/>
        <v>116717.5787</v>
      </c>
      <c r="J39" s="158">
        <f t="shared" si="48"/>
        <v>139679.0793</v>
      </c>
      <c r="K39" s="158">
        <f t="shared" si="48"/>
        <v>150559.5408</v>
      </c>
      <c r="L39" s="158">
        <f t="shared" si="48"/>
        <v>175383.7026</v>
      </c>
      <c r="M39" s="158">
        <f t="shared" si="48"/>
        <v>186181.1752</v>
      </c>
      <c r="N39" s="158">
        <f t="shared" si="48"/>
        <v>191092.3028</v>
      </c>
      <c r="O39" s="158">
        <f t="shared" si="48"/>
        <v>173798.5189</v>
      </c>
      <c r="P39" s="158">
        <f t="shared" si="48"/>
        <v>172856.4878</v>
      </c>
    </row>
    <row r="40" ht="15.75" customHeight="1">
      <c r="A40" s="163" t="s">
        <v>168</v>
      </c>
      <c r="B40" s="154" t="s">
        <v>156</v>
      </c>
      <c r="C40" s="90" t="s">
        <v>169</v>
      </c>
      <c r="D40" s="291" t="s">
        <v>286</v>
      </c>
      <c r="E40" s="292">
        <f t="shared" ref="E40:P40" si="49">E39/4</f>
        <v>9543.459149</v>
      </c>
      <c r="F40" s="292">
        <f t="shared" si="49"/>
        <v>15292.44775</v>
      </c>
      <c r="G40" s="292">
        <f t="shared" si="49"/>
        <v>21127.29203</v>
      </c>
      <c r="H40" s="292">
        <f t="shared" si="49"/>
        <v>26582.89537</v>
      </c>
      <c r="I40" s="292">
        <f t="shared" si="49"/>
        <v>29179.39467</v>
      </c>
      <c r="J40" s="292">
        <f t="shared" si="49"/>
        <v>34919.76982</v>
      </c>
      <c r="K40" s="292">
        <f t="shared" si="49"/>
        <v>37639.8852</v>
      </c>
      <c r="L40" s="292">
        <f t="shared" si="49"/>
        <v>43845.92565</v>
      </c>
      <c r="M40" s="292">
        <f t="shared" si="49"/>
        <v>46545.29381</v>
      </c>
      <c r="N40" s="292">
        <f t="shared" si="49"/>
        <v>47773.0757</v>
      </c>
      <c r="O40" s="292">
        <f t="shared" si="49"/>
        <v>43449.62972</v>
      </c>
      <c r="P40" s="292">
        <f t="shared" si="49"/>
        <v>43214.12195</v>
      </c>
    </row>
    <row r="41" ht="15.75" customHeight="1">
      <c r="A41" s="164" t="s">
        <v>174</v>
      </c>
      <c r="B41" s="90">
        <f>5125/8000</f>
        <v>0.640625</v>
      </c>
      <c r="C41" s="80">
        <f>3*4.28</f>
        <v>12.84</v>
      </c>
      <c r="D41" s="293" t="s">
        <v>287</v>
      </c>
      <c r="E41" s="292">
        <v>0.0</v>
      </c>
      <c r="F41" s="292">
        <f t="shared" ref="F41:P41" si="50">E40</f>
        <v>9543.459149</v>
      </c>
      <c r="G41" s="292">
        <f t="shared" si="50"/>
        <v>15292.44775</v>
      </c>
      <c r="H41" s="292">
        <f t="shared" si="50"/>
        <v>21127.29203</v>
      </c>
      <c r="I41" s="292">
        <f t="shared" si="50"/>
        <v>26582.89537</v>
      </c>
      <c r="J41" s="292">
        <f t="shared" si="50"/>
        <v>29179.39467</v>
      </c>
      <c r="K41" s="292">
        <f t="shared" si="50"/>
        <v>34919.76982</v>
      </c>
      <c r="L41" s="292">
        <f t="shared" si="50"/>
        <v>37639.8852</v>
      </c>
      <c r="M41" s="292">
        <f t="shared" si="50"/>
        <v>43845.92565</v>
      </c>
      <c r="N41" s="292">
        <f t="shared" si="50"/>
        <v>46545.29381</v>
      </c>
      <c r="O41" s="292">
        <f t="shared" si="50"/>
        <v>47773.0757</v>
      </c>
      <c r="P41" s="292">
        <f t="shared" si="50"/>
        <v>43449.62972</v>
      </c>
    </row>
    <row r="42" ht="15.75" customHeight="1">
      <c r="A42" s="164" t="s">
        <v>288</v>
      </c>
      <c r="B42" s="90">
        <f>0.55</f>
        <v>0.55</v>
      </c>
      <c r="C42" s="154"/>
      <c r="D42" s="154" t="s">
        <v>289</v>
      </c>
      <c r="E42" s="292">
        <v>0.0</v>
      </c>
      <c r="F42" s="292"/>
      <c r="G42" s="292">
        <f t="shared" ref="G42:P42" si="51">F41</f>
        <v>9543.459149</v>
      </c>
      <c r="H42" s="292">
        <f t="shared" si="51"/>
        <v>15292.44775</v>
      </c>
      <c r="I42" s="292">
        <f t="shared" si="51"/>
        <v>21127.29203</v>
      </c>
      <c r="J42" s="292">
        <f t="shared" si="51"/>
        <v>26582.89537</v>
      </c>
      <c r="K42" s="292">
        <f t="shared" si="51"/>
        <v>29179.39467</v>
      </c>
      <c r="L42" s="292">
        <f t="shared" si="51"/>
        <v>34919.76982</v>
      </c>
      <c r="M42" s="292">
        <f t="shared" si="51"/>
        <v>37639.8852</v>
      </c>
      <c r="N42" s="292">
        <f t="shared" si="51"/>
        <v>43845.92565</v>
      </c>
      <c r="O42" s="292">
        <f t="shared" si="51"/>
        <v>46545.29381</v>
      </c>
      <c r="P42" s="292">
        <f t="shared" si="51"/>
        <v>47773.0757</v>
      </c>
    </row>
    <row r="43" ht="15.75" customHeight="1">
      <c r="A43" s="164" t="s">
        <v>176</v>
      </c>
      <c r="B43" s="130">
        <f>59%</f>
        <v>0.59</v>
      </c>
      <c r="D43" s="87" t="s">
        <v>290</v>
      </c>
      <c r="E43" s="292">
        <v>0.0</v>
      </c>
      <c r="F43" s="294"/>
      <c r="G43" s="294"/>
      <c r="H43" s="292">
        <f t="shared" ref="H43:P43" si="52">G42</f>
        <v>9543.459149</v>
      </c>
      <c r="I43" s="292">
        <f t="shared" si="52"/>
        <v>15292.44775</v>
      </c>
      <c r="J43" s="292">
        <f t="shared" si="52"/>
        <v>21127.29203</v>
      </c>
      <c r="K43" s="292">
        <f t="shared" si="52"/>
        <v>26582.89537</v>
      </c>
      <c r="L43" s="292">
        <f t="shared" si="52"/>
        <v>29179.39467</v>
      </c>
      <c r="M43" s="292">
        <f t="shared" si="52"/>
        <v>34919.76982</v>
      </c>
      <c r="N43" s="292">
        <f t="shared" si="52"/>
        <v>37639.8852</v>
      </c>
      <c r="O43" s="292">
        <f t="shared" si="52"/>
        <v>43845.92565</v>
      </c>
      <c r="P43" s="292">
        <f t="shared" si="52"/>
        <v>46545.29381</v>
      </c>
    </row>
    <row r="44" ht="15.75" customHeight="1">
      <c r="D44" s="295" t="s">
        <v>291</v>
      </c>
      <c r="E44" s="296">
        <f t="shared" ref="E44:P44" si="53">SUM(E40:E43)</f>
        <v>9543.459149</v>
      </c>
      <c r="F44" s="296">
        <f t="shared" si="53"/>
        <v>24835.9069</v>
      </c>
      <c r="G44" s="296">
        <f t="shared" si="53"/>
        <v>45963.19894</v>
      </c>
      <c r="H44" s="296">
        <f t="shared" si="53"/>
        <v>72546.09431</v>
      </c>
      <c r="I44" s="296">
        <f t="shared" si="53"/>
        <v>92182.02983</v>
      </c>
      <c r="J44" s="296">
        <f t="shared" si="53"/>
        <v>111809.3519</v>
      </c>
      <c r="K44" s="296">
        <f t="shared" si="53"/>
        <v>128321.9451</v>
      </c>
      <c r="L44" s="296">
        <f t="shared" si="53"/>
        <v>145584.9754</v>
      </c>
      <c r="M44" s="296">
        <f t="shared" si="53"/>
        <v>162950.8745</v>
      </c>
      <c r="N44" s="296">
        <f t="shared" si="53"/>
        <v>175804.1804</v>
      </c>
      <c r="O44" s="296">
        <f t="shared" si="53"/>
        <v>181613.9249</v>
      </c>
      <c r="P44" s="296">
        <f t="shared" si="53"/>
        <v>180982.1212</v>
      </c>
    </row>
    <row r="45" ht="15.75" customHeight="1">
      <c r="B45" s="130">
        <f>B48/B13</f>
        <v>0.817808622</v>
      </c>
      <c r="D45" s="295" t="s">
        <v>292</v>
      </c>
      <c r="E45" s="296">
        <v>58000.0</v>
      </c>
      <c r="F45" s="296">
        <v>39000.0</v>
      </c>
      <c r="G45" s="296">
        <v>25000.0</v>
      </c>
      <c r="H45" s="296">
        <v>5500.0</v>
      </c>
      <c r="I45" s="296"/>
      <c r="J45" s="296"/>
      <c r="K45" s="296"/>
      <c r="L45" s="296"/>
      <c r="M45" s="296"/>
      <c r="N45" s="296"/>
      <c r="O45" s="296"/>
      <c r="P45" s="296"/>
    </row>
    <row r="46" ht="15.75" customHeight="1">
      <c r="A46" s="297"/>
      <c r="B46" s="242"/>
      <c r="C46" s="297"/>
      <c r="D46" s="298"/>
      <c r="E46" s="298"/>
      <c r="F46" s="298"/>
      <c r="G46" s="298"/>
      <c r="H46" s="298"/>
      <c r="I46" s="298"/>
      <c r="J46" s="298"/>
      <c r="K46" s="298"/>
      <c r="L46" s="298"/>
      <c r="M46" s="298"/>
      <c r="N46" s="298"/>
      <c r="O46" s="298"/>
      <c r="P46" s="298"/>
      <c r="T46" s="297"/>
      <c r="U46" s="297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  <c r="AI46" s="297"/>
    </row>
    <row r="47" ht="15.75" customHeight="1">
      <c r="A47" s="299" t="s">
        <v>293</v>
      </c>
      <c r="B47" s="300">
        <f t="shared" ref="B47:B48" si="55">SUM(E47:P47)</f>
        <v>2295716.966</v>
      </c>
      <c r="C47" s="299"/>
      <c r="D47" s="298">
        <v>28000.0</v>
      </c>
      <c r="E47" s="298">
        <f t="shared" ref="E47:P47" si="54">SUM(E44:E45)/E38+$D$47</f>
        <v>140131.0443</v>
      </c>
      <c r="F47" s="298">
        <f t="shared" si="54"/>
        <v>118165.7871</v>
      </c>
      <c r="G47" s="298">
        <f t="shared" si="54"/>
        <v>124734.5993</v>
      </c>
      <c r="H47" s="298">
        <f t="shared" si="54"/>
        <v>131345.4965</v>
      </c>
      <c r="I47" s="298">
        <f t="shared" si="54"/>
        <v>149311.2878</v>
      </c>
      <c r="J47" s="298">
        <f t="shared" si="54"/>
        <v>174518.6045</v>
      </c>
      <c r="K47" s="298">
        <f t="shared" si="54"/>
        <v>196005.4394</v>
      </c>
      <c r="L47" s="298">
        <f t="shared" si="54"/>
        <v>219253.6788</v>
      </c>
      <c r="M47" s="298">
        <f t="shared" si="54"/>
        <v>243095.8971</v>
      </c>
      <c r="N47" s="298">
        <f t="shared" si="54"/>
        <v>261163.8209</v>
      </c>
      <c r="O47" s="298">
        <f t="shared" si="54"/>
        <v>268760.6726</v>
      </c>
      <c r="P47" s="298">
        <f t="shared" si="54"/>
        <v>269230.6373</v>
      </c>
      <c r="T47" s="299"/>
      <c r="U47" s="299"/>
      <c r="V47" s="299"/>
      <c r="W47" s="299"/>
      <c r="X47" s="299"/>
      <c r="Y47" s="299"/>
      <c r="Z47" s="299"/>
      <c r="AA47" s="297"/>
      <c r="AB47" s="297"/>
      <c r="AC47" s="297"/>
      <c r="AD47" s="297"/>
      <c r="AE47" s="297"/>
      <c r="AF47" s="297"/>
      <c r="AG47" s="297"/>
      <c r="AH47" s="297"/>
      <c r="AI47" s="297"/>
    </row>
    <row r="48" ht="19.5" customHeight="1">
      <c r="A48" s="301" t="s">
        <v>294</v>
      </c>
      <c r="B48" s="302">
        <f t="shared" si="55"/>
        <v>1741878.062</v>
      </c>
      <c r="C48" s="303" t="s">
        <v>295</v>
      </c>
      <c r="D48" s="304">
        <f>28000*0.84</f>
        <v>23520</v>
      </c>
      <c r="E48" s="305">
        <f t="shared" ref="E48:P48" si="56">$D$48+E45+E44</f>
        <v>91063.45915</v>
      </c>
      <c r="F48" s="305">
        <f t="shared" si="56"/>
        <v>87355.9069</v>
      </c>
      <c r="G48" s="305">
        <f t="shared" si="56"/>
        <v>94483.19894</v>
      </c>
      <c r="H48" s="305">
        <f t="shared" si="56"/>
        <v>101566.0943</v>
      </c>
      <c r="I48" s="305">
        <f t="shared" si="56"/>
        <v>115702.0298</v>
      </c>
      <c r="J48" s="305">
        <f t="shared" si="56"/>
        <v>135329.3519</v>
      </c>
      <c r="K48" s="305">
        <f t="shared" si="56"/>
        <v>151841.9451</v>
      </c>
      <c r="L48" s="305">
        <f t="shared" si="56"/>
        <v>169104.9754</v>
      </c>
      <c r="M48" s="305">
        <f t="shared" si="56"/>
        <v>186470.8745</v>
      </c>
      <c r="N48" s="305">
        <f t="shared" si="56"/>
        <v>199324.1804</v>
      </c>
      <c r="O48" s="305">
        <f t="shared" si="56"/>
        <v>205133.9249</v>
      </c>
      <c r="P48" s="305">
        <f t="shared" si="56"/>
        <v>204502.1212</v>
      </c>
    </row>
    <row r="49" ht="15.75" customHeight="1">
      <c r="A49" s="104" t="s">
        <v>296</v>
      </c>
      <c r="B49" s="207">
        <f>'Premissas gerais'!B99</f>
        <v>85921</v>
      </c>
      <c r="C49" s="154"/>
      <c r="D49" s="175"/>
      <c r="E49" s="154">
        <f>B49</f>
        <v>85921</v>
      </c>
      <c r="F49" s="154">
        <f t="shared" ref="F49:P49" si="57">E49</f>
        <v>85921</v>
      </c>
      <c r="G49" s="154">
        <f t="shared" si="57"/>
        <v>85921</v>
      </c>
      <c r="H49" s="154">
        <f t="shared" si="57"/>
        <v>85921</v>
      </c>
      <c r="I49" s="154">
        <f t="shared" si="57"/>
        <v>85921</v>
      </c>
      <c r="J49" s="154">
        <f t="shared" si="57"/>
        <v>85921</v>
      </c>
      <c r="K49" s="154">
        <f t="shared" si="57"/>
        <v>85921</v>
      </c>
      <c r="L49" s="154">
        <f t="shared" si="57"/>
        <v>85921</v>
      </c>
      <c r="M49" s="154">
        <f t="shared" si="57"/>
        <v>85921</v>
      </c>
      <c r="N49" s="154">
        <f t="shared" si="57"/>
        <v>85921</v>
      </c>
      <c r="O49" s="154">
        <f t="shared" si="57"/>
        <v>85921</v>
      </c>
      <c r="P49" s="154">
        <f t="shared" si="57"/>
        <v>85921</v>
      </c>
    </row>
    <row r="50" ht="15.75" customHeight="1">
      <c r="A50" s="306" t="s">
        <v>297</v>
      </c>
      <c r="B50" s="307"/>
      <c r="C50" s="308">
        <f>D51/B47</f>
        <v>0.3096314019</v>
      </c>
      <c r="D50" s="309">
        <f>AVERAGE(E50:P50)</f>
        <v>59235.50519</v>
      </c>
      <c r="E50" s="292">
        <f t="shared" ref="E50:P50" si="58">E48-E49</f>
        <v>5142.459149</v>
      </c>
      <c r="F50" s="292">
        <f t="shared" si="58"/>
        <v>1434.906904</v>
      </c>
      <c r="G50" s="292">
        <f t="shared" si="58"/>
        <v>8562.198939</v>
      </c>
      <c r="H50" s="292">
        <f t="shared" si="58"/>
        <v>15645.09431</v>
      </c>
      <c r="I50" s="292">
        <f t="shared" si="58"/>
        <v>29781.02983</v>
      </c>
      <c r="J50" s="292">
        <f t="shared" si="58"/>
        <v>49408.3519</v>
      </c>
      <c r="K50" s="292">
        <f t="shared" si="58"/>
        <v>65920.94507</v>
      </c>
      <c r="L50" s="292">
        <f t="shared" si="58"/>
        <v>83183.97535</v>
      </c>
      <c r="M50" s="292">
        <f t="shared" si="58"/>
        <v>100549.8745</v>
      </c>
      <c r="N50" s="292">
        <f t="shared" si="58"/>
        <v>113403.1804</v>
      </c>
      <c r="O50" s="292">
        <f t="shared" si="58"/>
        <v>119212.9249</v>
      </c>
      <c r="P50" s="292">
        <f t="shared" si="58"/>
        <v>118581.1212</v>
      </c>
      <c r="T50" s="306"/>
      <c r="U50" s="306"/>
      <c r="V50" s="306"/>
      <c r="W50" s="306"/>
      <c r="X50" s="306"/>
      <c r="Y50" s="306"/>
      <c r="Z50" s="306"/>
      <c r="AA50" s="310"/>
      <c r="AB50" s="310"/>
      <c r="AC50" s="310"/>
      <c r="AD50" s="310"/>
      <c r="AE50" s="310"/>
      <c r="AF50" s="310"/>
      <c r="AG50" s="310"/>
      <c r="AH50" s="310"/>
      <c r="AI50" s="310"/>
    </row>
    <row r="51" ht="15.75" customHeight="1">
      <c r="A51" s="311" t="s">
        <v>298</v>
      </c>
      <c r="B51" s="82"/>
      <c r="D51" s="227">
        <f>P51</f>
        <v>710826.0623</v>
      </c>
      <c r="E51" s="154">
        <f>E50+C51</f>
        <v>5142.459149</v>
      </c>
      <c r="F51" s="154">
        <f t="shared" ref="F51:P51" si="59">F50+E51</f>
        <v>6577.366053</v>
      </c>
      <c r="G51" s="154">
        <f t="shared" si="59"/>
        <v>15139.56499</v>
      </c>
      <c r="H51" s="154">
        <f t="shared" si="59"/>
        <v>30784.6593</v>
      </c>
      <c r="I51" s="154">
        <f t="shared" si="59"/>
        <v>60565.68913</v>
      </c>
      <c r="J51" s="154">
        <f t="shared" si="59"/>
        <v>109974.041</v>
      </c>
      <c r="K51" s="154">
        <f t="shared" si="59"/>
        <v>175894.9861</v>
      </c>
      <c r="L51" s="154">
        <f t="shared" si="59"/>
        <v>259078.9615</v>
      </c>
      <c r="M51" s="154">
        <f t="shared" si="59"/>
        <v>359628.8359</v>
      </c>
      <c r="N51" s="154">
        <f t="shared" si="59"/>
        <v>473032.0163</v>
      </c>
      <c r="O51" s="154">
        <f t="shared" si="59"/>
        <v>592244.9412</v>
      </c>
      <c r="P51" s="154">
        <f t="shared" si="59"/>
        <v>710826.0623</v>
      </c>
    </row>
    <row r="52" ht="15.75" customHeight="1">
      <c r="A52" s="164"/>
      <c r="B52" s="82"/>
      <c r="D52" s="227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</row>
    <row r="53" ht="15.75" customHeight="1">
      <c r="A53" s="164"/>
      <c r="B53" s="82"/>
      <c r="D53" s="227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</row>
    <row r="54" ht="15.75" customHeight="1">
      <c r="A54" s="164"/>
      <c r="B54" s="82"/>
      <c r="D54" s="227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</row>
    <row r="55" ht="15.75" customHeight="1">
      <c r="A55" s="81" t="s">
        <v>299</v>
      </c>
      <c r="B55" s="98"/>
      <c r="C55" s="80"/>
      <c r="D55" s="211"/>
      <c r="E55" s="80">
        <v>0.0</v>
      </c>
      <c r="F55" s="80">
        <v>0.0</v>
      </c>
      <c r="G55" s="80">
        <v>1.0</v>
      </c>
      <c r="H55" s="80"/>
      <c r="I55" s="80"/>
      <c r="J55" s="80"/>
      <c r="K55" s="80"/>
      <c r="L55" s="80"/>
      <c r="M55" s="80"/>
      <c r="N55" s="80"/>
      <c r="O55" s="80"/>
      <c r="P55" s="80"/>
    </row>
    <row r="56" ht="15.75" customHeight="1">
      <c r="A56" s="104" t="s">
        <v>238</v>
      </c>
      <c r="B56" s="98"/>
      <c r="C56" s="80"/>
      <c r="D56" s="175">
        <v>100.0</v>
      </c>
      <c r="E56" s="154">
        <f t="shared" ref="E56:P56" si="60">D56</f>
        <v>100</v>
      </c>
      <c r="F56" s="154">
        <f t="shared" si="60"/>
        <v>100</v>
      </c>
      <c r="G56" s="154">
        <f t="shared" si="60"/>
        <v>100</v>
      </c>
      <c r="H56" s="154">
        <f t="shared" si="60"/>
        <v>100</v>
      </c>
      <c r="I56" s="154">
        <f t="shared" si="60"/>
        <v>100</v>
      </c>
      <c r="J56" s="154">
        <f t="shared" si="60"/>
        <v>100</v>
      </c>
      <c r="K56" s="154">
        <f t="shared" si="60"/>
        <v>100</v>
      </c>
      <c r="L56" s="154">
        <f t="shared" si="60"/>
        <v>100</v>
      </c>
      <c r="M56" s="154">
        <f t="shared" si="60"/>
        <v>100</v>
      </c>
      <c r="N56" s="154">
        <f t="shared" si="60"/>
        <v>100</v>
      </c>
      <c r="O56" s="154">
        <f t="shared" si="60"/>
        <v>100</v>
      </c>
      <c r="P56" s="154">
        <f t="shared" si="60"/>
        <v>100</v>
      </c>
    </row>
    <row r="57" ht="15.75" customHeight="1">
      <c r="A57" s="104" t="s">
        <v>300</v>
      </c>
      <c r="B57" s="98"/>
      <c r="C57" s="80"/>
      <c r="D57" s="155">
        <v>0.2</v>
      </c>
      <c r="E57" s="90">
        <f t="shared" ref="E57:P57" si="61">D57</f>
        <v>0.2</v>
      </c>
      <c r="F57" s="90">
        <f t="shared" si="61"/>
        <v>0.2</v>
      </c>
      <c r="G57" s="90">
        <f t="shared" si="61"/>
        <v>0.2</v>
      </c>
      <c r="H57" s="90">
        <f t="shared" si="61"/>
        <v>0.2</v>
      </c>
      <c r="I57" s="90">
        <f t="shared" si="61"/>
        <v>0.2</v>
      </c>
      <c r="J57" s="90">
        <f t="shared" si="61"/>
        <v>0.2</v>
      </c>
      <c r="K57" s="90">
        <f t="shared" si="61"/>
        <v>0.2</v>
      </c>
      <c r="L57" s="90">
        <f t="shared" si="61"/>
        <v>0.2</v>
      </c>
      <c r="M57" s="90">
        <f t="shared" si="61"/>
        <v>0.2</v>
      </c>
      <c r="N57" s="90">
        <f t="shared" si="61"/>
        <v>0.2</v>
      </c>
      <c r="O57" s="90">
        <f t="shared" si="61"/>
        <v>0.2</v>
      </c>
      <c r="P57" s="90">
        <f t="shared" si="61"/>
        <v>0.2</v>
      </c>
    </row>
    <row r="58" ht="15.75" customHeight="1">
      <c r="A58" s="104" t="s">
        <v>301</v>
      </c>
      <c r="B58" s="98"/>
      <c r="C58" s="80"/>
      <c r="D58" s="211"/>
      <c r="E58" s="80">
        <f t="shared" ref="E58:P58" si="62">E57*E11</f>
        <v>1.6</v>
      </c>
      <c r="F58" s="80">
        <f t="shared" si="62"/>
        <v>1.92</v>
      </c>
      <c r="G58" s="80">
        <f t="shared" si="62"/>
        <v>2.56</v>
      </c>
      <c r="H58" s="80">
        <f t="shared" si="62"/>
        <v>2.816</v>
      </c>
      <c r="I58" s="80">
        <f t="shared" si="62"/>
        <v>3.072</v>
      </c>
      <c r="J58" s="80">
        <f t="shared" si="62"/>
        <v>3.328</v>
      </c>
      <c r="K58" s="80">
        <f t="shared" si="62"/>
        <v>3.584</v>
      </c>
      <c r="L58" s="80">
        <f t="shared" si="62"/>
        <v>3.84</v>
      </c>
      <c r="M58" s="80">
        <f t="shared" si="62"/>
        <v>4.096</v>
      </c>
      <c r="N58" s="80">
        <f t="shared" si="62"/>
        <v>4.224</v>
      </c>
      <c r="O58" s="80">
        <f t="shared" si="62"/>
        <v>3.84</v>
      </c>
      <c r="P58" s="80">
        <f t="shared" si="62"/>
        <v>3.84</v>
      </c>
    </row>
    <row r="59" ht="15.75" customHeight="1">
      <c r="A59" s="104" t="s">
        <v>302</v>
      </c>
      <c r="B59" s="98"/>
      <c r="C59" s="80"/>
      <c r="D59" s="211" t="s">
        <v>303</v>
      </c>
      <c r="E59" s="80">
        <v>0.0</v>
      </c>
      <c r="F59" s="80">
        <v>0.0</v>
      </c>
      <c r="G59" s="80">
        <v>0.0</v>
      </c>
      <c r="H59" s="80">
        <f t="shared" ref="H59:P59" si="63">H58+G59</f>
        <v>2.816</v>
      </c>
      <c r="I59" s="80">
        <f t="shared" si="63"/>
        <v>5.888</v>
      </c>
      <c r="J59" s="80">
        <f t="shared" si="63"/>
        <v>9.216</v>
      </c>
      <c r="K59" s="80">
        <f t="shared" si="63"/>
        <v>12.8</v>
      </c>
      <c r="L59" s="80">
        <f t="shared" si="63"/>
        <v>16.64</v>
      </c>
      <c r="M59" s="80">
        <f t="shared" si="63"/>
        <v>20.736</v>
      </c>
      <c r="N59" s="80">
        <f t="shared" si="63"/>
        <v>24.96</v>
      </c>
      <c r="O59" s="80">
        <f t="shared" si="63"/>
        <v>28.8</v>
      </c>
      <c r="P59" s="80">
        <f t="shared" si="63"/>
        <v>32.64</v>
      </c>
    </row>
    <row r="60" ht="15.75" customHeight="1">
      <c r="A60" s="206" t="s">
        <v>304</v>
      </c>
      <c r="B60" s="312"/>
      <c r="C60" s="313"/>
      <c r="D60" s="314"/>
      <c r="E60" s="298">
        <f t="shared" ref="E60:P60" si="64">E59*E56</f>
        <v>0</v>
      </c>
      <c r="F60" s="298">
        <f t="shared" si="64"/>
        <v>0</v>
      </c>
      <c r="G60" s="298">
        <f t="shared" si="64"/>
        <v>0</v>
      </c>
      <c r="H60" s="298">
        <f t="shared" si="64"/>
        <v>281.6</v>
      </c>
      <c r="I60" s="298">
        <f t="shared" si="64"/>
        <v>588.8</v>
      </c>
      <c r="J60" s="298">
        <f t="shared" si="64"/>
        <v>921.6</v>
      </c>
      <c r="K60" s="298">
        <f t="shared" si="64"/>
        <v>1280</v>
      </c>
      <c r="L60" s="298">
        <f t="shared" si="64"/>
        <v>1664</v>
      </c>
      <c r="M60" s="298">
        <f t="shared" si="64"/>
        <v>2073.6</v>
      </c>
      <c r="N60" s="298">
        <f t="shared" si="64"/>
        <v>2496</v>
      </c>
      <c r="O60" s="298">
        <f t="shared" si="64"/>
        <v>2880</v>
      </c>
      <c r="P60" s="298">
        <f t="shared" si="64"/>
        <v>3264</v>
      </c>
      <c r="T60" s="299"/>
      <c r="U60" s="299"/>
      <c r="V60" s="299"/>
      <c r="W60" s="299"/>
      <c r="X60" s="299"/>
      <c r="Y60" s="299"/>
      <c r="Z60" s="299"/>
      <c r="AA60" s="297"/>
      <c r="AB60" s="297"/>
      <c r="AC60" s="297"/>
      <c r="AD60" s="297"/>
      <c r="AE60" s="297"/>
      <c r="AF60" s="297"/>
      <c r="AG60" s="297"/>
      <c r="AH60" s="297"/>
      <c r="AI60" s="297"/>
    </row>
    <row r="61" ht="15.75" customHeight="1">
      <c r="A61" s="104" t="s">
        <v>305</v>
      </c>
      <c r="B61" s="80"/>
      <c r="C61" s="80"/>
      <c r="D61" s="211"/>
      <c r="E61" s="88">
        <f>E60</f>
        <v>0</v>
      </c>
      <c r="F61" s="88">
        <f t="shared" ref="F61:P61" si="65">F60+E61</f>
        <v>0</v>
      </c>
      <c r="G61" s="88">
        <f t="shared" si="65"/>
        <v>0</v>
      </c>
      <c r="H61" s="88">
        <f t="shared" si="65"/>
        <v>281.6</v>
      </c>
      <c r="I61" s="88">
        <f t="shared" si="65"/>
        <v>870.4</v>
      </c>
      <c r="J61" s="88">
        <f t="shared" si="65"/>
        <v>1792</v>
      </c>
      <c r="K61" s="88">
        <f t="shared" si="65"/>
        <v>3072</v>
      </c>
      <c r="L61" s="88">
        <f t="shared" si="65"/>
        <v>4736</v>
      </c>
      <c r="M61" s="88">
        <f t="shared" si="65"/>
        <v>6809.6</v>
      </c>
      <c r="N61" s="88">
        <f t="shared" si="65"/>
        <v>9305.6</v>
      </c>
      <c r="O61" s="88">
        <f t="shared" si="65"/>
        <v>12185.6</v>
      </c>
      <c r="P61" s="88">
        <f t="shared" si="65"/>
        <v>15449.6</v>
      </c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</row>
    <row r="62" ht="15.75" customHeight="1">
      <c r="A62" s="104"/>
      <c r="B62" s="80"/>
      <c r="C62" s="80"/>
      <c r="D62" s="211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</row>
    <row r="63" ht="15.75" customHeight="1">
      <c r="A63" s="104"/>
      <c r="B63" s="80"/>
      <c r="C63" s="80"/>
      <c r="D63" s="211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</row>
    <row r="64" ht="15.75" customHeight="1">
      <c r="A64" s="163" t="s">
        <v>306</v>
      </c>
      <c r="B64" s="80"/>
      <c r="C64" s="80"/>
      <c r="D64" s="175">
        <v>200.0</v>
      </c>
      <c r="E64" s="88">
        <f t="shared" ref="E64:P64" si="66">D64</f>
        <v>200</v>
      </c>
      <c r="F64" s="88">
        <f t="shared" si="66"/>
        <v>200</v>
      </c>
      <c r="G64" s="88">
        <f t="shared" si="66"/>
        <v>200</v>
      </c>
      <c r="H64" s="88">
        <f t="shared" si="66"/>
        <v>200</v>
      </c>
      <c r="I64" s="88">
        <f t="shared" si="66"/>
        <v>200</v>
      </c>
      <c r="J64" s="88">
        <f t="shared" si="66"/>
        <v>200</v>
      </c>
      <c r="K64" s="88">
        <f t="shared" si="66"/>
        <v>200</v>
      </c>
      <c r="L64" s="88">
        <f t="shared" si="66"/>
        <v>200</v>
      </c>
      <c r="M64" s="88">
        <f t="shared" si="66"/>
        <v>200</v>
      </c>
      <c r="N64" s="88">
        <f t="shared" si="66"/>
        <v>200</v>
      </c>
      <c r="O64" s="88">
        <f t="shared" si="66"/>
        <v>200</v>
      </c>
      <c r="P64" s="88">
        <f t="shared" si="66"/>
        <v>200</v>
      </c>
    </row>
    <row r="65" ht="15.75" customHeight="1">
      <c r="A65" s="104" t="s">
        <v>300</v>
      </c>
      <c r="D65" s="155">
        <v>0.1</v>
      </c>
      <c r="E65" s="90">
        <f t="shared" ref="E65:P65" si="67">D65</f>
        <v>0.1</v>
      </c>
      <c r="F65" s="90">
        <f t="shared" si="67"/>
        <v>0.1</v>
      </c>
      <c r="G65" s="90">
        <f t="shared" si="67"/>
        <v>0.1</v>
      </c>
      <c r="H65" s="90">
        <f t="shared" si="67"/>
        <v>0.1</v>
      </c>
      <c r="I65" s="90">
        <f t="shared" si="67"/>
        <v>0.1</v>
      </c>
      <c r="J65" s="90">
        <f t="shared" si="67"/>
        <v>0.1</v>
      </c>
      <c r="K65" s="90">
        <f t="shared" si="67"/>
        <v>0.1</v>
      </c>
      <c r="L65" s="90">
        <f t="shared" si="67"/>
        <v>0.1</v>
      </c>
      <c r="M65" s="90">
        <f t="shared" si="67"/>
        <v>0.1</v>
      </c>
      <c r="N65" s="90">
        <f t="shared" si="67"/>
        <v>0.1</v>
      </c>
      <c r="O65" s="90">
        <f t="shared" si="67"/>
        <v>0.1</v>
      </c>
      <c r="P65" s="90">
        <f t="shared" si="67"/>
        <v>0.1</v>
      </c>
    </row>
    <row r="66" ht="15.75" customHeight="1">
      <c r="A66" s="104" t="s">
        <v>301</v>
      </c>
      <c r="D66" s="211"/>
      <c r="E66" s="80">
        <f t="shared" ref="E66:P66" si="68">E65*E11</f>
        <v>0.8</v>
      </c>
      <c r="F66" s="80">
        <f t="shared" si="68"/>
        <v>0.96</v>
      </c>
      <c r="G66" s="80">
        <f t="shared" si="68"/>
        <v>1.28</v>
      </c>
      <c r="H66" s="80">
        <f t="shared" si="68"/>
        <v>1.408</v>
      </c>
      <c r="I66" s="80">
        <f t="shared" si="68"/>
        <v>1.536</v>
      </c>
      <c r="J66" s="80">
        <f t="shared" si="68"/>
        <v>1.664</v>
      </c>
      <c r="K66" s="80">
        <f t="shared" si="68"/>
        <v>1.792</v>
      </c>
      <c r="L66" s="80">
        <f t="shared" si="68"/>
        <v>1.92</v>
      </c>
      <c r="M66" s="80">
        <f t="shared" si="68"/>
        <v>2.048</v>
      </c>
      <c r="N66" s="80">
        <f t="shared" si="68"/>
        <v>2.112</v>
      </c>
      <c r="O66" s="80">
        <f t="shared" si="68"/>
        <v>1.92</v>
      </c>
      <c r="P66" s="80">
        <f t="shared" si="68"/>
        <v>1.92</v>
      </c>
    </row>
    <row r="67" ht="15.75" customHeight="1">
      <c r="A67" s="104" t="s">
        <v>302</v>
      </c>
      <c r="D67" s="211"/>
      <c r="E67" s="80">
        <v>0.0</v>
      </c>
      <c r="F67" s="80">
        <v>0.0</v>
      </c>
      <c r="G67" s="80">
        <v>0.0</v>
      </c>
      <c r="H67" s="80">
        <v>0.0</v>
      </c>
      <c r="I67" s="80">
        <v>0.0</v>
      </c>
      <c r="J67" s="80">
        <f t="shared" ref="J67:P67" si="69">J66+I67</f>
        <v>1.664</v>
      </c>
      <c r="K67" s="80">
        <f t="shared" si="69"/>
        <v>3.456</v>
      </c>
      <c r="L67" s="80">
        <f t="shared" si="69"/>
        <v>5.376</v>
      </c>
      <c r="M67" s="80">
        <f t="shared" si="69"/>
        <v>7.424</v>
      </c>
      <c r="N67" s="80">
        <f t="shared" si="69"/>
        <v>9.536</v>
      </c>
      <c r="O67" s="80">
        <f t="shared" si="69"/>
        <v>11.456</v>
      </c>
      <c r="P67" s="80">
        <f t="shared" si="69"/>
        <v>13.376</v>
      </c>
    </row>
    <row r="68" ht="15.75" customHeight="1">
      <c r="A68" s="315" t="s">
        <v>304</v>
      </c>
      <c r="B68" s="316"/>
      <c r="C68" s="316"/>
      <c r="D68" s="317"/>
      <c r="E68" s="318">
        <f t="shared" ref="E68:I68" si="70">B67*B64</f>
        <v>0</v>
      </c>
      <c r="F68" s="318">
        <f t="shared" si="70"/>
        <v>0</v>
      </c>
      <c r="G68" s="318">
        <f t="shared" si="70"/>
        <v>0</v>
      </c>
      <c r="H68" s="318">
        <f t="shared" si="70"/>
        <v>0</v>
      </c>
      <c r="I68" s="318">
        <f t="shared" si="70"/>
        <v>0</v>
      </c>
      <c r="J68" s="318">
        <f t="shared" ref="J68:P68" si="71">J67*J64</f>
        <v>332.8</v>
      </c>
      <c r="K68" s="318">
        <f t="shared" si="71"/>
        <v>691.2</v>
      </c>
      <c r="L68" s="318">
        <f t="shared" si="71"/>
        <v>1075.2</v>
      </c>
      <c r="M68" s="318">
        <f t="shared" si="71"/>
        <v>1484.8</v>
      </c>
      <c r="N68" s="318">
        <f t="shared" si="71"/>
        <v>1907.2</v>
      </c>
      <c r="O68" s="318">
        <f t="shared" si="71"/>
        <v>2291.2</v>
      </c>
      <c r="P68" s="318">
        <f t="shared" si="71"/>
        <v>2675.2</v>
      </c>
      <c r="T68" s="316"/>
      <c r="U68" s="316"/>
      <c r="V68" s="316"/>
      <c r="W68" s="316"/>
      <c r="X68" s="316"/>
      <c r="Y68" s="316"/>
      <c r="Z68" s="316"/>
      <c r="AA68" s="319"/>
      <c r="AB68" s="319"/>
      <c r="AC68" s="319"/>
      <c r="AD68" s="319"/>
      <c r="AE68" s="319"/>
      <c r="AF68" s="319"/>
      <c r="AG68" s="319"/>
      <c r="AH68" s="319"/>
      <c r="AI68" s="319"/>
    </row>
    <row r="69" ht="15.75" customHeight="1">
      <c r="A69" s="104" t="s">
        <v>305</v>
      </c>
      <c r="D69" s="211"/>
      <c r="E69" s="154">
        <f t="shared" ref="E69:H69" si="72">E68</f>
        <v>0</v>
      </c>
      <c r="F69" s="154">
        <f t="shared" si="72"/>
        <v>0</v>
      </c>
      <c r="G69" s="154">
        <f t="shared" si="72"/>
        <v>0</v>
      </c>
      <c r="H69" s="154">
        <f t="shared" si="72"/>
        <v>0</v>
      </c>
      <c r="I69" s="154">
        <f t="shared" ref="I69:P69" si="73">I68+H69</f>
        <v>0</v>
      </c>
      <c r="J69" s="154">
        <f t="shared" si="73"/>
        <v>332.8</v>
      </c>
      <c r="K69" s="154">
        <f t="shared" si="73"/>
        <v>1024</v>
      </c>
      <c r="L69" s="154">
        <f t="shared" si="73"/>
        <v>2099.2</v>
      </c>
      <c r="M69" s="154">
        <f t="shared" si="73"/>
        <v>3584</v>
      </c>
      <c r="N69" s="154">
        <f t="shared" si="73"/>
        <v>5491.2</v>
      </c>
      <c r="O69" s="154">
        <f t="shared" si="73"/>
        <v>7782.4</v>
      </c>
      <c r="P69" s="154">
        <f t="shared" si="73"/>
        <v>10457.6</v>
      </c>
    </row>
    <row r="70" ht="15.75" customHeight="1">
      <c r="A70" s="104" t="s">
        <v>51</v>
      </c>
      <c r="D70" s="175">
        <f>3000+3*1500+5000</f>
        <v>12500</v>
      </c>
      <c r="E70" s="80"/>
      <c r="F70" s="80"/>
      <c r="G70" s="80"/>
      <c r="H70" s="154"/>
      <c r="I70" s="154"/>
      <c r="J70" s="154">
        <f t="shared" ref="J70:P70" si="74">$D$70*J66</f>
        <v>20800</v>
      </c>
      <c r="K70" s="154">
        <f t="shared" si="74"/>
        <v>22400</v>
      </c>
      <c r="L70" s="154">
        <f t="shared" si="74"/>
        <v>24000</v>
      </c>
      <c r="M70" s="154">
        <f t="shared" si="74"/>
        <v>25600</v>
      </c>
      <c r="N70" s="154">
        <f t="shared" si="74"/>
        <v>26400</v>
      </c>
      <c r="O70" s="154">
        <f t="shared" si="74"/>
        <v>24000</v>
      </c>
      <c r="P70" s="154">
        <f t="shared" si="74"/>
        <v>24000</v>
      </c>
    </row>
    <row r="71" ht="15.75" customHeight="1">
      <c r="A71" s="234" t="s">
        <v>254</v>
      </c>
      <c r="D71" s="175"/>
      <c r="E71" s="80"/>
      <c r="F71" s="80"/>
      <c r="G71" s="80"/>
      <c r="H71" s="154"/>
      <c r="I71" s="154"/>
      <c r="J71" s="154">
        <f t="shared" ref="J71:P71" si="75">J70/2</f>
        <v>10400</v>
      </c>
      <c r="K71" s="154">
        <f t="shared" si="75"/>
        <v>11200</v>
      </c>
      <c r="L71" s="154">
        <f t="shared" si="75"/>
        <v>12000</v>
      </c>
      <c r="M71" s="154">
        <f t="shared" si="75"/>
        <v>12800</v>
      </c>
      <c r="N71" s="154">
        <f t="shared" si="75"/>
        <v>13200</v>
      </c>
      <c r="O71" s="154">
        <f t="shared" si="75"/>
        <v>12000</v>
      </c>
      <c r="P71" s="154">
        <f t="shared" si="75"/>
        <v>12000</v>
      </c>
    </row>
    <row r="72" ht="15.75" customHeight="1">
      <c r="A72" s="234" t="s">
        <v>256</v>
      </c>
      <c r="D72" s="175"/>
      <c r="E72" s="80"/>
      <c r="F72" s="80"/>
      <c r="G72" s="80"/>
      <c r="H72" s="154"/>
      <c r="I72" s="154"/>
      <c r="J72" s="154"/>
      <c r="K72" s="154">
        <f t="shared" ref="K72:P72" si="76">J71</f>
        <v>10400</v>
      </c>
      <c r="L72" s="154">
        <f t="shared" si="76"/>
        <v>11200</v>
      </c>
      <c r="M72" s="154">
        <f t="shared" si="76"/>
        <v>12000</v>
      </c>
      <c r="N72" s="154">
        <f t="shared" si="76"/>
        <v>12800</v>
      </c>
      <c r="O72" s="154">
        <f t="shared" si="76"/>
        <v>13200</v>
      </c>
      <c r="P72" s="154">
        <f t="shared" si="76"/>
        <v>12000</v>
      </c>
    </row>
    <row r="73" ht="15.75" customHeight="1">
      <c r="A73" s="234" t="s">
        <v>307</v>
      </c>
      <c r="D73" s="175"/>
      <c r="E73" s="80"/>
      <c r="F73" s="80"/>
      <c r="G73" s="80"/>
      <c r="H73" s="154"/>
      <c r="I73" s="154"/>
      <c r="J73" s="154">
        <f t="shared" ref="J73:P73" si="77">SUM(J71:J72)</f>
        <v>10400</v>
      </c>
      <c r="K73" s="154">
        <f t="shared" si="77"/>
        <v>21600</v>
      </c>
      <c r="L73" s="154">
        <f t="shared" si="77"/>
        <v>23200</v>
      </c>
      <c r="M73" s="154">
        <f t="shared" si="77"/>
        <v>24800</v>
      </c>
      <c r="N73" s="154">
        <f t="shared" si="77"/>
        <v>26000</v>
      </c>
      <c r="O73" s="154">
        <f t="shared" si="77"/>
        <v>25200</v>
      </c>
      <c r="P73" s="154">
        <f t="shared" si="77"/>
        <v>24000</v>
      </c>
    </row>
    <row r="74" ht="15.75" customHeight="1">
      <c r="A74" s="320" t="s">
        <v>308</v>
      </c>
      <c r="B74" s="306"/>
      <c r="C74" s="306"/>
      <c r="D74" s="321">
        <v>0.5</v>
      </c>
      <c r="E74" s="292">
        <f t="shared" ref="E74:P74" si="78">$D74*E70</f>
        <v>0</v>
      </c>
      <c r="F74" s="292">
        <f t="shared" si="78"/>
        <v>0</v>
      </c>
      <c r="G74" s="292">
        <f t="shared" si="78"/>
        <v>0</v>
      </c>
      <c r="H74" s="292">
        <f t="shared" si="78"/>
        <v>0</v>
      </c>
      <c r="I74" s="292">
        <f t="shared" si="78"/>
        <v>0</v>
      </c>
      <c r="J74" s="292">
        <f t="shared" si="78"/>
        <v>10400</v>
      </c>
      <c r="K74" s="292">
        <f t="shared" si="78"/>
        <v>11200</v>
      </c>
      <c r="L74" s="292">
        <f t="shared" si="78"/>
        <v>12000</v>
      </c>
      <c r="M74" s="292">
        <f t="shared" si="78"/>
        <v>12800</v>
      </c>
      <c r="N74" s="292">
        <f t="shared" si="78"/>
        <v>13200</v>
      </c>
      <c r="O74" s="292">
        <f t="shared" si="78"/>
        <v>12000</v>
      </c>
      <c r="P74" s="292">
        <f t="shared" si="78"/>
        <v>12000</v>
      </c>
      <c r="T74" s="306"/>
      <c r="U74" s="306"/>
      <c r="V74" s="306"/>
      <c r="W74" s="306"/>
      <c r="X74" s="306"/>
      <c r="Y74" s="306"/>
      <c r="Z74" s="306"/>
      <c r="AA74" s="310"/>
      <c r="AB74" s="310"/>
      <c r="AC74" s="310"/>
      <c r="AD74" s="310"/>
      <c r="AE74" s="310"/>
      <c r="AF74" s="310"/>
      <c r="AG74" s="310"/>
      <c r="AH74" s="310"/>
      <c r="AI74" s="310"/>
    </row>
    <row r="75" ht="15.75" customHeight="1">
      <c r="A75" s="320" t="s">
        <v>309</v>
      </c>
      <c r="B75" s="306"/>
      <c r="C75" s="306"/>
      <c r="D75" s="321">
        <v>0.7</v>
      </c>
      <c r="E75" s="292">
        <f t="shared" ref="E75:P75" si="79">$D75*E68</f>
        <v>0</v>
      </c>
      <c r="F75" s="292">
        <f t="shared" si="79"/>
        <v>0</v>
      </c>
      <c r="G75" s="292">
        <f t="shared" si="79"/>
        <v>0</v>
      </c>
      <c r="H75" s="292">
        <f t="shared" si="79"/>
        <v>0</v>
      </c>
      <c r="I75" s="292">
        <f t="shared" si="79"/>
        <v>0</v>
      </c>
      <c r="J75" s="292">
        <f t="shared" si="79"/>
        <v>232.96</v>
      </c>
      <c r="K75" s="292">
        <f t="shared" si="79"/>
        <v>483.84</v>
      </c>
      <c r="L75" s="292">
        <f t="shared" si="79"/>
        <v>752.64</v>
      </c>
      <c r="M75" s="292">
        <f t="shared" si="79"/>
        <v>1039.36</v>
      </c>
      <c r="N75" s="292">
        <f t="shared" si="79"/>
        <v>1335.04</v>
      </c>
      <c r="O75" s="292">
        <f t="shared" si="79"/>
        <v>1603.84</v>
      </c>
      <c r="P75" s="292">
        <f t="shared" si="79"/>
        <v>1872.64</v>
      </c>
      <c r="T75" s="306"/>
      <c r="U75" s="306"/>
      <c r="V75" s="306"/>
      <c r="W75" s="306"/>
      <c r="X75" s="306"/>
      <c r="Y75" s="306"/>
      <c r="Z75" s="306"/>
      <c r="AA75" s="310"/>
      <c r="AB75" s="310"/>
      <c r="AC75" s="310"/>
      <c r="AD75" s="310"/>
      <c r="AE75" s="310"/>
      <c r="AF75" s="310"/>
      <c r="AG75" s="310"/>
      <c r="AH75" s="310"/>
      <c r="AI75" s="310"/>
    </row>
    <row r="76" ht="15.75" customHeight="1">
      <c r="A76" s="320" t="s">
        <v>310</v>
      </c>
      <c r="B76" s="306"/>
      <c r="C76" s="306"/>
      <c r="D76" s="321">
        <v>0.75</v>
      </c>
      <c r="E76" s="292">
        <f t="shared" ref="E76:P76" si="80">$D76*E60</f>
        <v>0</v>
      </c>
      <c r="F76" s="292">
        <f t="shared" si="80"/>
        <v>0</v>
      </c>
      <c r="G76" s="292">
        <f t="shared" si="80"/>
        <v>0</v>
      </c>
      <c r="H76" s="292">
        <f t="shared" si="80"/>
        <v>211.2</v>
      </c>
      <c r="I76" s="292">
        <f t="shared" si="80"/>
        <v>441.6</v>
      </c>
      <c r="J76" s="292">
        <f t="shared" si="80"/>
        <v>691.2</v>
      </c>
      <c r="K76" s="292">
        <f t="shared" si="80"/>
        <v>960</v>
      </c>
      <c r="L76" s="292">
        <f t="shared" si="80"/>
        <v>1248</v>
      </c>
      <c r="M76" s="292">
        <f t="shared" si="80"/>
        <v>1555.2</v>
      </c>
      <c r="N76" s="292">
        <f t="shared" si="80"/>
        <v>1872</v>
      </c>
      <c r="O76" s="292">
        <f t="shared" si="80"/>
        <v>2160</v>
      </c>
      <c r="P76" s="292">
        <f t="shared" si="80"/>
        <v>2448</v>
      </c>
      <c r="T76" s="306"/>
      <c r="U76" s="306"/>
      <c r="V76" s="306"/>
      <c r="W76" s="306"/>
      <c r="X76" s="306"/>
      <c r="Y76" s="306"/>
      <c r="Z76" s="306"/>
      <c r="AA76" s="310"/>
      <c r="AB76" s="310"/>
      <c r="AC76" s="310"/>
      <c r="AD76" s="310"/>
      <c r="AE76" s="310"/>
      <c r="AF76" s="310"/>
      <c r="AG76" s="310"/>
      <c r="AH76" s="310"/>
      <c r="AI76" s="310"/>
    </row>
    <row r="77" ht="15.75" customHeight="1">
      <c r="A77" s="206" t="s">
        <v>311</v>
      </c>
      <c r="B77" s="299"/>
      <c r="C77" s="298">
        <f t="shared" ref="C77:C78" si="82">SUM(E77:P77)</f>
        <v>193107.2</v>
      </c>
      <c r="D77" s="322">
        <f t="shared" ref="D77:D78" si="83">AVERAGE(E77:P77)</f>
        <v>16092.26667</v>
      </c>
      <c r="E77" s="322">
        <f t="shared" ref="E77:P77" si="81">E70+E68+E60</f>
        <v>0</v>
      </c>
      <c r="F77" s="322">
        <f t="shared" si="81"/>
        <v>0</v>
      </c>
      <c r="G77" s="322">
        <f t="shared" si="81"/>
        <v>0</v>
      </c>
      <c r="H77" s="322">
        <f t="shared" si="81"/>
        <v>281.6</v>
      </c>
      <c r="I77" s="322">
        <f t="shared" si="81"/>
        <v>588.8</v>
      </c>
      <c r="J77" s="322">
        <f t="shared" si="81"/>
        <v>22054.4</v>
      </c>
      <c r="K77" s="322">
        <f t="shared" si="81"/>
        <v>24371.2</v>
      </c>
      <c r="L77" s="322">
        <f t="shared" si="81"/>
        <v>26739.2</v>
      </c>
      <c r="M77" s="322">
        <f t="shared" si="81"/>
        <v>29158.4</v>
      </c>
      <c r="N77" s="322">
        <f t="shared" si="81"/>
        <v>30803.2</v>
      </c>
      <c r="O77" s="322">
        <f t="shared" si="81"/>
        <v>29171.2</v>
      </c>
      <c r="P77" s="322">
        <f t="shared" si="81"/>
        <v>29939.2</v>
      </c>
      <c r="T77" s="298"/>
      <c r="U77" s="299"/>
      <c r="V77" s="299"/>
      <c r="W77" s="299"/>
      <c r="X77" s="299"/>
      <c r="Y77" s="299"/>
      <c r="Z77" s="299"/>
      <c r="AA77" s="297"/>
      <c r="AB77" s="297"/>
      <c r="AC77" s="297"/>
      <c r="AD77" s="297"/>
      <c r="AE77" s="297"/>
      <c r="AF77" s="297"/>
      <c r="AG77" s="297"/>
      <c r="AH77" s="297"/>
      <c r="AI77" s="297"/>
    </row>
    <row r="78" ht="15.75" customHeight="1">
      <c r="A78" s="323" t="s">
        <v>312</v>
      </c>
      <c r="B78" s="311"/>
      <c r="C78" s="296">
        <f t="shared" si="82"/>
        <v>102507.52</v>
      </c>
      <c r="D78" s="158">
        <f t="shared" si="83"/>
        <v>8542.293333</v>
      </c>
      <c r="E78" s="324">
        <f t="shared" ref="E78:P78" si="84">E76+E75+E74</f>
        <v>0</v>
      </c>
      <c r="F78" s="158">
        <f t="shared" si="84"/>
        <v>0</v>
      </c>
      <c r="G78" s="158">
        <f t="shared" si="84"/>
        <v>0</v>
      </c>
      <c r="H78" s="158">
        <f t="shared" si="84"/>
        <v>211.2</v>
      </c>
      <c r="I78" s="158">
        <f t="shared" si="84"/>
        <v>441.6</v>
      </c>
      <c r="J78" s="158">
        <f t="shared" si="84"/>
        <v>11324.16</v>
      </c>
      <c r="K78" s="158">
        <f t="shared" si="84"/>
        <v>12643.84</v>
      </c>
      <c r="L78" s="158">
        <f t="shared" si="84"/>
        <v>14000.64</v>
      </c>
      <c r="M78" s="158">
        <f t="shared" si="84"/>
        <v>15394.56</v>
      </c>
      <c r="N78" s="158">
        <f t="shared" si="84"/>
        <v>16407.04</v>
      </c>
      <c r="O78" s="158">
        <f t="shared" si="84"/>
        <v>15763.84</v>
      </c>
      <c r="P78" s="158">
        <f t="shared" si="84"/>
        <v>16320.64</v>
      </c>
    </row>
    <row r="79" ht="15.75" customHeight="1">
      <c r="A79" s="164"/>
      <c r="B79" s="325"/>
      <c r="C79" s="88"/>
      <c r="D79" s="80"/>
      <c r="E79" s="207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</row>
    <row r="80" ht="15.75" customHeight="1">
      <c r="E80" s="164"/>
      <c r="L80" s="88"/>
      <c r="M80" s="88"/>
      <c r="N80" s="88"/>
    </row>
    <row r="81" ht="15.75" customHeight="1">
      <c r="A81" s="326" t="s">
        <v>218</v>
      </c>
      <c r="B81" s="327"/>
      <c r="C81" s="327"/>
      <c r="D81" s="327"/>
      <c r="E81" s="328"/>
      <c r="F81" s="327"/>
      <c r="G81" s="327"/>
      <c r="H81" s="327"/>
      <c r="I81" s="327"/>
      <c r="J81" s="327"/>
      <c r="K81" s="327"/>
      <c r="L81" s="327"/>
      <c r="M81" s="327"/>
      <c r="N81" s="327"/>
      <c r="O81" s="327"/>
      <c r="P81" s="327"/>
      <c r="Q81" s="327"/>
      <c r="R81" s="327"/>
      <c r="S81" s="327"/>
      <c r="T81" s="327"/>
      <c r="U81" s="327"/>
      <c r="V81" s="327"/>
      <c r="W81" s="327"/>
      <c r="X81" s="327"/>
      <c r="Y81" s="327"/>
      <c r="Z81" s="327"/>
      <c r="AA81" s="329"/>
      <c r="AB81" s="329"/>
      <c r="AC81" s="329"/>
      <c r="AD81" s="329"/>
      <c r="AE81" s="329"/>
      <c r="AF81" s="329"/>
      <c r="AG81" s="329"/>
      <c r="AH81" s="329"/>
      <c r="AI81" s="329"/>
    </row>
    <row r="82" ht="15.75" customHeight="1">
      <c r="A82" s="79" t="s">
        <v>219</v>
      </c>
      <c r="B82" s="87" t="s">
        <v>40</v>
      </c>
      <c r="C82" s="87" t="s">
        <v>217</v>
      </c>
      <c r="D82" s="330" t="s">
        <v>94</v>
      </c>
      <c r="E82" s="82"/>
    </row>
    <row r="83" ht="15.75" customHeight="1">
      <c r="A83" s="79" t="s">
        <v>313</v>
      </c>
      <c r="B83" s="154">
        <v>110000.0</v>
      </c>
      <c r="C83" s="80">
        <v>6.0</v>
      </c>
      <c r="D83" s="331">
        <v>0.13</v>
      </c>
      <c r="E83" s="82"/>
    </row>
    <row r="84" ht="15.75" customHeight="1">
      <c r="A84" s="79" t="s">
        <v>314</v>
      </c>
      <c r="D84" s="134" t="s">
        <v>167</v>
      </c>
      <c r="E84" s="332">
        <f t="shared" ref="E84:P84" si="85">$D$83*E11</f>
        <v>1.04</v>
      </c>
      <c r="F84" s="333">
        <f t="shared" si="85"/>
        <v>1.248</v>
      </c>
      <c r="G84" s="333">
        <f t="shared" si="85"/>
        <v>1.664</v>
      </c>
      <c r="H84" s="333">
        <f t="shared" si="85"/>
        <v>1.8304</v>
      </c>
      <c r="I84" s="333">
        <f t="shared" si="85"/>
        <v>1.9968</v>
      </c>
      <c r="J84" s="333">
        <f t="shared" si="85"/>
        <v>2.1632</v>
      </c>
      <c r="K84" s="333">
        <f t="shared" si="85"/>
        <v>2.3296</v>
      </c>
      <c r="L84" s="333">
        <f t="shared" si="85"/>
        <v>2.496</v>
      </c>
      <c r="M84" s="333">
        <f t="shared" si="85"/>
        <v>2.6624</v>
      </c>
      <c r="N84" s="333">
        <f t="shared" si="85"/>
        <v>2.7456</v>
      </c>
      <c r="O84" s="333">
        <f t="shared" si="85"/>
        <v>2.496</v>
      </c>
      <c r="P84" s="333">
        <f t="shared" si="85"/>
        <v>2.496</v>
      </c>
    </row>
    <row r="85" ht="15.75" customHeight="1">
      <c r="A85" s="299" t="s">
        <v>315</v>
      </c>
      <c r="B85" s="334" t="s">
        <v>244</v>
      </c>
      <c r="C85" s="335">
        <f>SUM(E85:P85)</f>
        <v>461413.3333</v>
      </c>
      <c r="D85" s="298">
        <f>B83/C83</f>
        <v>18333.33333</v>
      </c>
      <c r="E85" s="336">
        <f t="shared" ref="E85:P85" si="86">E84*$D$85</f>
        <v>19066.66667</v>
      </c>
      <c r="F85" s="336">
        <f t="shared" si="86"/>
        <v>22880</v>
      </c>
      <c r="G85" s="336">
        <f t="shared" si="86"/>
        <v>30506.66667</v>
      </c>
      <c r="H85" s="336">
        <f t="shared" si="86"/>
        <v>33557.33333</v>
      </c>
      <c r="I85" s="336">
        <f t="shared" si="86"/>
        <v>36608</v>
      </c>
      <c r="J85" s="336">
        <f t="shared" si="86"/>
        <v>39658.66667</v>
      </c>
      <c r="K85" s="336">
        <f t="shared" si="86"/>
        <v>42709.33333</v>
      </c>
      <c r="L85" s="336">
        <f t="shared" si="86"/>
        <v>45760</v>
      </c>
      <c r="M85" s="336">
        <f t="shared" si="86"/>
        <v>48810.66667</v>
      </c>
      <c r="N85" s="336">
        <f t="shared" si="86"/>
        <v>50336</v>
      </c>
      <c r="O85" s="336">
        <f t="shared" si="86"/>
        <v>45760</v>
      </c>
      <c r="P85" s="336">
        <f t="shared" si="86"/>
        <v>45760</v>
      </c>
      <c r="T85" s="299"/>
      <c r="U85" s="299"/>
      <c r="V85" s="299"/>
      <c r="W85" s="299"/>
      <c r="X85" s="299"/>
      <c r="Y85" s="299"/>
      <c r="Z85" s="299"/>
      <c r="AA85" s="297"/>
      <c r="AB85" s="297"/>
      <c r="AC85" s="297"/>
      <c r="AD85" s="297"/>
      <c r="AE85" s="297"/>
      <c r="AF85" s="297"/>
      <c r="AG85" s="297"/>
      <c r="AH85" s="297"/>
      <c r="AI85" s="297"/>
    </row>
    <row r="86" ht="15.75" customHeight="1">
      <c r="A86" s="79" t="s">
        <v>254</v>
      </c>
      <c r="D86" s="104"/>
      <c r="E86" s="337">
        <f t="shared" ref="E86:P86" si="87">E85/4</f>
        <v>4766.666667</v>
      </c>
      <c r="F86" s="337">
        <f t="shared" si="87"/>
        <v>5720</v>
      </c>
      <c r="G86" s="337">
        <f t="shared" si="87"/>
        <v>7626.666667</v>
      </c>
      <c r="H86" s="337">
        <f t="shared" si="87"/>
        <v>8389.333333</v>
      </c>
      <c r="I86" s="337">
        <f t="shared" si="87"/>
        <v>9152</v>
      </c>
      <c r="J86" s="337">
        <f t="shared" si="87"/>
        <v>9914.666667</v>
      </c>
      <c r="K86" s="337">
        <f t="shared" si="87"/>
        <v>10677.33333</v>
      </c>
      <c r="L86" s="337">
        <f t="shared" si="87"/>
        <v>11440</v>
      </c>
      <c r="M86" s="337">
        <f t="shared" si="87"/>
        <v>12202.66667</v>
      </c>
      <c r="N86" s="337">
        <f t="shared" si="87"/>
        <v>12584</v>
      </c>
      <c r="O86" s="337">
        <f t="shared" si="87"/>
        <v>11440</v>
      </c>
      <c r="P86" s="337">
        <f t="shared" si="87"/>
        <v>11440</v>
      </c>
    </row>
    <row r="87" ht="15.75" customHeight="1">
      <c r="A87" s="79" t="s">
        <v>256</v>
      </c>
      <c r="D87" s="104"/>
      <c r="E87" s="337"/>
      <c r="F87" s="337">
        <f t="shared" ref="F87:P87" si="88">E86</f>
        <v>4766.666667</v>
      </c>
      <c r="G87" s="337">
        <f t="shared" si="88"/>
        <v>5720</v>
      </c>
      <c r="H87" s="337">
        <f t="shared" si="88"/>
        <v>7626.666667</v>
      </c>
      <c r="I87" s="337">
        <f t="shared" si="88"/>
        <v>8389.333333</v>
      </c>
      <c r="J87" s="337">
        <f t="shared" si="88"/>
        <v>9152</v>
      </c>
      <c r="K87" s="337">
        <f t="shared" si="88"/>
        <v>9914.666667</v>
      </c>
      <c r="L87" s="337">
        <f t="shared" si="88"/>
        <v>10677.33333</v>
      </c>
      <c r="M87" s="337">
        <f t="shared" si="88"/>
        <v>11440</v>
      </c>
      <c r="N87" s="337">
        <f t="shared" si="88"/>
        <v>12202.66667</v>
      </c>
      <c r="O87" s="337">
        <f t="shared" si="88"/>
        <v>12584</v>
      </c>
      <c r="P87" s="337">
        <f t="shared" si="88"/>
        <v>11440</v>
      </c>
    </row>
    <row r="88" ht="15.75" customHeight="1">
      <c r="A88" s="79" t="s">
        <v>258</v>
      </c>
      <c r="D88" s="104"/>
      <c r="E88" s="337"/>
      <c r="F88" s="337"/>
      <c r="G88" s="337">
        <f t="shared" ref="G88:P88" si="89">F87</f>
        <v>4766.666667</v>
      </c>
      <c r="H88" s="337">
        <f t="shared" si="89"/>
        <v>5720</v>
      </c>
      <c r="I88" s="337">
        <f t="shared" si="89"/>
        <v>7626.666667</v>
      </c>
      <c r="J88" s="337">
        <f t="shared" si="89"/>
        <v>8389.333333</v>
      </c>
      <c r="K88" s="337">
        <f t="shared" si="89"/>
        <v>9152</v>
      </c>
      <c r="L88" s="337">
        <f t="shared" si="89"/>
        <v>9914.666667</v>
      </c>
      <c r="M88" s="337">
        <f t="shared" si="89"/>
        <v>10677.33333</v>
      </c>
      <c r="N88" s="337">
        <f t="shared" si="89"/>
        <v>11440</v>
      </c>
      <c r="O88" s="337">
        <f t="shared" si="89"/>
        <v>12202.66667</v>
      </c>
      <c r="P88" s="337">
        <f t="shared" si="89"/>
        <v>12584</v>
      </c>
    </row>
    <row r="89" ht="15.75" customHeight="1">
      <c r="A89" s="79" t="s">
        <v>259</v>
      </c>
      <c r="D89" s="104"/>
      <c r="E89" s="337"/>
      <c r="F89" s="337"/>
      <c r="G89" s="337"/>
      <c r="H89" s="337">
        <f t="shared" ref="H89:P89" si="90">G88</f>
        <v>4766.666667</v>
      </c>
      <c r="I89" s="337">
        <f t="shared" si="90"/>
        <v>5720</v>
      </c>
      <c r="J89" s="337">
        <f t="shared" si="90"/>
        <v>7626.666667</v>
      </c>
      <c r="K89" s="337">
        <f t="shared" si="90"/>
        <v>8389.333333</v>
      </c>
      <c r="L89" s="337">
        <f t="shared" si="90"/>
        <v>9152</v>
      </c>
      <c r="M89" s="337">
        <f t="shared" si="90"/>
        <v>9914.666667</v>
      </c>
      <c r="N89" s="337">
        <f t="shared" si="90"/>
        <v>10677.33333</v>
      </c>
      <c r="O89" s="337">
        <f t="shared" si="90"/>
        <v>11440</v>
      </c>
      <c r="P89" s="337">
        <f t="shared" si="90"/>
        <v>12202.66667</v>
      </c>
    </row>
    <row r="90" ht="15.75" customHeight="1">
      <c r="A90" s="338" t="s">
        <v>316</v>
      </c>
      <c r="B90" s="338"/>
      <c r="C90" s="339"/>
      <c r="D90" s="163"/>
      <c r="E90" s="340">
        <f t="shared" ref="E90:P90" si="91">SUM(E86:E89)</f>
        <v>4766.666667</v>
      </c>
      <c r="F90" s="340">
        <f t="shared" si="91"/>
        <v>10486.66667</v>
      </c>
      <c r="G90" s="340">
        <f t="shared" si="91"/>
        <v>18113.33333</v>
      </c>
      <c r="H90" s="340">
        <f t="shared" si="91"/>
        <v>26502.66667</v>
      </c>
      <c r="I90" s="340">
        <f t="shared" si="91"/>
        <v>30888</v>
      </c>
      <c r="J90" s="340">
        <f t="shared" si="91"/>
        <v>35082.66667</v>
      </c>
      <c r="K90" s="340">
        <f t="shared" si="91"/>
        <v>38133.33333</v>
      </c>
      <c r="L90" s="340">
        <f t="shared" si="91"/>
        <v>41184</v>
      </c>
      <c r="M90" s="340">
        <f t="shared" si="91"/>
        <v>44234.66667</v>
      </c>
      <c r="N90" s="340">
        <f t="shared" si="91"/>
        <v>46904</v>
      </c>
      <c r="O90" s="340">
        <f t="shared" si="91"/>
        <v>47666.66667</v>
      </c>
      <c r="P90" s="340">
        <f t="shared" si="91"/>
        <v>47666.66667</v>
      </c>
    </row>
    <row r="91" ht="15.75" customHeight="1">
      <c r="A91" s="79" t="s">
        <v>317</v>
      </c>
      <c r="D91" s="155">
        <v>0.45</v>
      </c>
      <c r="E91" s="337">
        <f t="shared" ref="E91:P91" si="92">E85*$D$91</f>
        <v>8580</v>
      </c>
      <c r="F91" s="337">
        <f t="shared" si="92"/>
        <v>10296</v>
      </c>
      <c r="G91" s="337">
        <f t="shared" si="92"/>
        <v>13728</v>
      </c>
      <c r="H91" s="337">
        <f t="shared" si="92"/>
        <v>15100.8</v>
      </c>
      <c r="I91" s="337">
        <f t="shared" si="92"/>
        <v>16473.6</v>
      </c>
      <c r="J91" s="337">
        <f t="shared" si="92"/>
        <v>17846.4</v>
      </c>
      <c r="K91" s="337">
        <f t="shared" si="92"/>
        <v>19219.2</v>
      </c>
      <c r="L91" s="337">
        <f t="shared" si="92"/>
        <v>20592</v>
      </c>
      <c r="M91" s="337">
        <f t="shared" si="92"/>
        <v>21964.8</v>
      </c>
      <c r="N91" s="337">
        <f t="shared" si="92"/>
        <v>22651.2</v>
      </c>
      <c r="O91" s="337">
        <f t="shared" si="92"/>
        <v>20592</v>
      </c>
      <c r="P91" s="337">
        <f t="shared" si="92"/>
        <v>20592</v>
      </c>
    </row>
    <row r="92" ht="15.75" customHeight="1">
      <c r="A92" s="79" t="s">
        <v>318</v>
      </c>
      <c r="D92" s="104"/>
      <c r="E92" s="337">
        <f t="shared" ref="E92:P92" si="93">E90-E91</f>
        <v>-3813.333333</v>
      </c>
      <c r="F92" s="337">
        <f t="shared" si="93"/>
        <v>190.6666667</v>
      </c>
      <c r="G92" s="337">
        <f t="shared" si="93"/>
        <v>4385.333333</v>
      </c>
      <c r="H92" s="337">
        <f t="shared" si="93"/>
        <v>11401.86667</v>
      </c>
      <c r="I92" s="337">
        <f t="shared" si="93"/>
        <v>14414.4</v>
      </c>
      <c r="J92" s="337">
        <f t="shared" si="93"/>
        <v>17236.26667</v>
      </c>
      <c r="K92" s="337">
        <f t="shared" si="93"/>
        <v>18914.13333</v>
      </c>
      <c r="L92" s="337">
        <f t="shared" si="93"/>
        <v>20592</v>
      </c>
      <c r="M92" s="337">
        <f t="shared" si="93"/>
        <v>22269.86667</v>
      </c>
      <c r="N92" s="337">
        <f t="shared" si="93"/>
        <v>24252.8</v>
      </c>
      <c r="O92" s="337">
        <f t="shared" si="93"/>
        <v>27074.66667</v>
      </c>
      <c r="P92" s="337">
        <f t="shared" si="93"/>
        <v>27074.66667</v>
      </c>
    </row>
    <row r="93" ht="15.75" customHeight="1">
      <c r="A93" s="79" t="s">
        <v>319</v>
      </c>
      <c r="B93" s="79" t="s">
        <v>320</v>
      </c>
      <c r="C93" s="88">
        <f>P93</f>
        <v>183993.3333</v>
      </c>
      <c r="D93" s="104"/>
      <c r="E93" s="337">
        <f>E92</f>
        <v>-3813.333333</v>
      </c>
      <c r="F93" s="88">
        <f t="shared" ref="F93:P93" si="94">F92+E93</f>
        <v>-3622.666667</v>
      </c>
      <c r="G93" s="88">
        <f t="shared" si="94"/>
        <v>762.6666667</v>
      </c>
      <c r="H93" s="88">
        <f t="shared" si="94"/>
        <v>12164.53333</v>
      </c>
      <c r="I93" s="88">
        <f t="shared" si="94"/>
        <v>26578.93333</v>
      </c>
      <c r="J93" s="88">
        <f t="shared" si="94"/>
        <v>43815.2</v>
      </c>
      <c r="K93" s="88">
        <f t="shared" si="94"/>
        <v>62729.33333</v>
      </c>
      <c r="L93" s="88">
        <f t="shared" si="94"/>
        <v>83321.33333</v>
      </c>
      <c r="M93" s="88">
        <f t="shared" si="94"/>
        <v>105591.2</v>
      </c>
      <c r="N93" s="88">
        <f t="shared" si="94"/>
        <v>129844</v>
      </c>
      <c r="O93" s="88">
        <f t="shared" si="94"/>
        <v>156918.6667</v>
      </c>
      <c r="P93" s="88">
        <f t="shared" si="94"/>
        <v>183993.3333</v>
      </c>
    </row>
    <row r="94" ht="15.75" customHeight="1">
      <c r="A94" s="79" t="s">
        <v>321</v>
      </c>
      <c r="D94" s="341">
        <v>0.35</v>
      </c>
      <c r="H94" s="337">
        <f t="shared" ref="H94:P94" si="95">$D$94*E85</f>
        <v>6673.333333</v>
      </c>
      <c r="I94" s="337">
        <f t="shared" si="95"/>
        <v>8008</v>
      </c>
      <c r="J94" s="337">
        <f t="shared" si="95"/>
        <v>10677.33333</v>
      </c>
      <c r="K94" s="337">
        <f t="shared" si="95"/>
        <v>11745.06667</v>
      </c>
      <c r="L94" s="337">
        <f t="shared" si="95"/>
        <v>12812.8</v>
      </c>
      <c r="M94" s="337">
        <f t="shared" si="95"/>
        <v>13880.53333</v>
      </c>
      <c r="N94" s="337">
        <f t="shared" si="95"/>
        <v>14948.26667</v>
      </c>
      <c r="O94" s="337">
        <f t="shared" si="95"/>
        <v>16016</v>
      </c>
      <c r="P94" s="337">
        <f t="shared" si="95"/>
        <v>17083.73333</v>
      </c>
    </row>
    <row r="95" ht="15.75" customHeight="1">
      <c r="A95" s="311" t="s">
        <v>322</v>
      </c>
      <c r="B95" s="311"/>
      <c r="C95" s="311"/>
      <c r="D95" s="342">
        <v>0.42</v>
      </c>
      <c r="E95" s="343">
        <f t="shared" ref="E95:P95" si="96">E85*$D$95</f>
        <v>8008</v>
      </c>
      <c r="F95" s="343">
        <f t="shared" si="96"/>
        <v>9609.6</v>
      </c>
      <c r="G95" s="343">
        <f t="shared" si="96"/>
        <v>12812.8</v>
      </c>
      <c r="H95" s="343">
        <f t="shared" si="96"/>
        <v>14094.08</v>
      </c>
      <c r="I95" s="343">
        <f t="shared" si="96"/>
        <v>15375.36</v>
      </c>
      <c r="J95" s="343">
        <f t="shared" si="96"/>
        <v>16656.64</v>
      </c>
      <c r="K95" s="343">
        <f t="shared" si="96"/>
        <v>17937.92</v>
      </c>
      <c r="L95" s="343">
        <f t="shared" si="96"/>
        <v>19219.2</v>
      </c>
      <c r="M95" s="343">
        <f t="shared" si="96"/>
        <v>20500.48</v>
      </c>
      <c r="N95" s="343">
        <f t="shared" si="96"/>
        <v>21141.12</v>
      </c>
      <c r="O95" s="343">
        <f t="shared" si="96"/>
        <v>19219.2</v>
      </c>
      <c r="P95" s="343">
        <f t="shared" si="96"/>
        <v>19219.2</v>
      </c>
      <c r="T95" s="311"/>
      <c r="U95" s="311"/>
      <c r="V95" s="311"/>
      <c r="W95" s="311"/>
      <c r="X95" s="311"/>
      <c r="Y95" s="311"/>
      <c r="Z95" s="311"/>
      <c r="AA95" s="344"/>
      <c r="AB95" s="344"/>
      <c r="AC95" s="344"/>
      <c r="AD95" s="344"/>
      <c r="AE95" s="344"/>
      <c r="AF95" s="344"/>
      <c r="AG95" s="344"/>
      <c r="AH95" s="344"/>
      <c r="AI95" s="344"/>
    </row>
    <row r="96" ht="15.75" customHeight="1">
      <c r="A96" s="196" t="s">
        <v>323</v>
      </c>
      <c r="B96" s="82"/>
      <c r="C96" s="164"/>
      <c r="D96" s="104"/>
      <c r="E96" s="196">
        <v>0.0</v>
      </c>
      <c r="F96" s="202">
        <f t="shared" ref="F96:P96" si="97">E95*1/3</f>
        <v>2669.333333</v>
      </c>
      <c r="G96" s="202">
        <f t="shared" si="97"/>
        <v>3203.2</v>
      </c>
      <c r="H96" s="202">
        <f t="shared" si="97"/>
        <v>4270.933333</v>
      </c>
      <c r="I96" s="202">
        <f t="shared" si="97"/>
        <v>4698.026667</v>
      </c>
      <c r="J96" s="202">
        <f t="shared" si="97"/>
        <v>5125.12</v>
      </c>
      <c r="K96" s="202">
        <f t="shared" si="97"/>
        <v>5552.213333</v>
      </c>
      <c r="L96" s="202">
        <f t="shared" si="97"/>
        <v>5979.306667</v>
      </c>
      <c r="M96" s="202">
        <f t="shared" si="97"/>
        <v>6406.4</v>
      </c>
      <c r="N96" s="202">
        <f t="shared" si="97"/>
        <v>6833.493333</v>
      </c>
      <c r="O96" s="202">
        <f t="shared" si="97"/>
        <v>7047.04</v>
      </c>
      <c r="P96" s="202">
        <f t="shared" si="97"/>
        <v>6406.4</v>
      </c>
    </row>
    <row r="97" ht="15.75" hidden="1" customHeight="1">
      <c r="A97" s="334" t="s">
        <v>324</v>
      </c>
      <c r="B97" s="345">
        <f>SUM(E97:P97)</f>
        <v>3411650.832</v>
      </c>
      <c r="C97" s="334" t="s">
        <v>325</v>
      </c>
      <c r="D97" s="346">
        <f>AVERAGE(E97:P97)</f>
        <v>284304.236</v>
      </c>
      <c r="E97" s="335">
        <f t="shared" ref="E97:P97" si="98">E85+E103</f>
        <v>178264.3776</v>
      </c>
      <c r="F97" s="347">
        <f t="shared" si="98"/>
        <v>163925.7871</v>
      </c>
      <c r="G97" s="347">
        <f t="shared" si="98"/>
        <v>185747.9326</v>
      </c>
      <c r="H97" s="347">
        <f t="shared" si="98"/>
        <v>198741.7631</v>
      </c>
      <c r="I97" s="347">
        <f t="shared" si="98"/>
        <v>223116.0878</v>
      </c>
      <c r="J97" s="347">
        <f t="shared" si="98"/>
        <v>275890.3378</v>
      </c>
      <c r="K97" s="347">
        <f t="shared" si="98"/>
        <v>305795.3061</v>
      </c>
      <c r="L97" s="347">
        <f t="shared" si="98"/>
        <v>337512.8788</v>
      </c>
      <c r="M97" s="347">
        <f t="shared" si="98"/>
        <v>369875.6305</v>
      </c>
      <c r="N97" s="347">
        <f t="shared" si="98"/>
        <v>392639.0209</v>
      </c>
      <c r="O97" s="347">
        <f t="shared" si="98"/>
        <v>389451.8726</v>
      </c>
      <c r="P97" s="347">
        <f t="shared" si="98"/>
        <v>390689.8373</v>
      </c>
      <c r="T97" s="334"/>
      <c r="U97" s="334"/>
      <c r="V97" s="334"/>
      <c r="W97" s="334"/>
      <c r="X97" s="334"/>
      <c r="Y97" s="334"/>
      <c r="Z97" s="334"/>
      <c r="AA97" s="348"/>
      <c r="AB97" s="348"/>
      <c r="AC97" s="348"/>
      <c r="AD97" s="348"/>
      <c r="AE97" s="348"/>
      <c r="AF97" s="348"/>
      <c r="AG97" s="348"/>
      <c r="AH97" s="348"/>
      <c r="AI97" s="348"/>
    </row>
    <row r="98" ht="15.75" customHeight="1">
      <c r="A98" s="196" t="s">
        <v>326</v>
      </c>
      <c r="B98" s="82"/>
      <c r="C98" s="164"/>
      <c r="D98" s="104"/>
      <c r="F98" s="202"/>
      <c r="G98" s="202">
        <f t="shared" ref="G98:P98" si="99">F96</f>
        <v>2669.333333</v>
      </c>
      <c r="H98" s="202">
        <f t="shared" si="99"/>
        <v>3203.2</v>
      </c>
      <c r="I98" s="202">
        <f t="shared" si="99"/>
        <v>4270.933333</v>
      </c>
      <c r="J98" s="202">
        <f t="shared" si="99"/>
        <v>4698.026667</v>
      </c>
      <c r="K98" s="202">
        <f t="shared" si="99"/>
        <v>5125.12</v>
      </c>
      <c r="L98" s="202">
        <f t="shared" si="99"/>
        <v>5552.213333</v>
      </c>
      <c r="M98" s="202">
        <f t="shared" si="99"/>
        <v>5979.306667</v>
      </c>
      <c r="N98" s="202">
        <f t="shared" si="99"/>
        <v>6406.4</v>
      </c>
      <c r="O98" s="202">
        <f t="shared" si="99"/>
        <v>6833.493333</v>
      </c>
      <c r="P98" s="202">
        <f t="shared" si="99"/>
        <v>7047.04</v>
      </c>
    </row>
    <row r="99" ht="15.75" customHeight="1">
      <c r="A99" s="196" t="s">
        <v>327</v>
      </c>
      <c r="B99" s="82"/>
      <c r="C99" s="164"/>
      <c r="D99" s="104"/>
      <c r="F99" s="202"/>
      <c r="G99" s="202"/>
      <c r="H99" s="202">
        <f t="shared" ref="H99:P99" si="100">G98</f>
        <v>2669.333333</v>
      </c>
      <c r="I99" s="202">
        <f t="shared" si="100"/>
        <v>3203.2</v>
      </c>
      <c r="J99" s="202">
        <f t="shared" si="100"/>
        <v>4270.933333</v>
      </c>
      <c r="K99" s="202">
        <f t="shared" si="100"/>
        <v>4698.026667</v>
      </c>
      <c r="L99" s="202">
        <f t="shared" si="100"/>
        <v>5125.12</v>
      </c>
      <c r="M99" s="202">
        <f t="shared" si="100"/>
        <v>5552.213333</v>
      </c>
      <c r="N99" s="202">
        <f t="shared" si="100"/>
        <v>5979.306667</v>
      </c>
      <c r="O99" s="202">
        <f t="shared" si="100"/>
        <v>6406.4</v>
      </c>
      <c r="P99" s="202">
        <f t="shared" si="100"/>
        <v>6833.493333</v>
      </c>
    </row>
    <row r="100" ht="15.75" customHeight="1">
      <c r="A100" s="349" t="s">
        <v>316</v>
      </c>
      <c r="B100" s="350"/>
      <c r="C100" s="351"/>
      <c r="D100" s="351"/>
      <c r="E100" s="352">
        <f t="shared" ref="E100:P100" si="101">E99+E98+E96</f>
        <v>0</v>
      </c>
      <c r="F100" s="352">
        <f t="shared" si="101"/>
        <v>2669.333333</v>
      </c>
      <c r="G100" s="352">
        <f t="shared" si="101"/>
        <v>5872.533333</v>
      </c>
      <c r="H100" s="352">
        <f t="shared" si="101"/>
        <v>10143.46667</v>
      </c>
      <c r="I100" s="352">
        <f t="shared" si="101"/>
        <v>12172.16</v>
      </c>
      <c r="J100" s="352">
        <f t="shared" si="101"/>
        <v>14094.08</v>
      </c>
      <c r="K100" s="352">
        <f t="shared" si="101"/>
        <v>15375.36</v>
      </c>
      <c r="L100" s="352">
        <f t="shared" si="101"/>
        <v>16656.64</v>
      </c>
      <c r="M100" s="352">
        <f t="shared" si="101"/>
        <v>17937.92</v>
      </c>
      <c r="N100" s="352">
        <f t="shared" si="101"/>
        <v>19219.2</v>
      </c>
      <c r="O100" s="352">
        <f t="shared" si="101"/>
        <v>20286.93333</v>
      </c>
      <c r="P100" s="352">
        <f t="shared" si="101"/>
        <v>20286.93333</v>
      </c>
    </row>
    <row r="101" ht="15.75" customHeight="1">
      <c r="B101" s="88"/>
    </row>
    <row r="102" ht="15.75" customHeight="1">
      <c r="C102" s="87" t="s">
        <v>40</v>
      </c>
      <c r="D102" s="87" t="s">
        <v>229</v>
      </c>
      <c r="E102" s="353">
        <f t="shared" ref="E102:G102" si="102">E84+E11</f>
        <v>9.04</v>
      </c>
      <c r="F102" s="354">
        <f t="shared" si="102"/>
        <v>10.848</v>
      </c>
      <c r="G102" s="354">
        <f t="shared" si="102"/>
        <v>14.464</v>
      </c>
    </row>
    <row r="103" ht="27.0" customHeight="1">
      <c r="A103" s="355" t="s">
        <v>328</v>
      </c>
      <c r="B103" s="355"/>
      <c r="C103" s="356">
        <f t="shared" ref="C103:C105" si="104">SUM(E103:P103)</f>
        <v>2950237.499</v>
      </c>
      <c r="D103" s="357">
        <f t="shared" ref="D103:D105" si="105">AVERAGE(E103:P103)</f>
        <v>245853.1249</v>
      </c>
      <c r="E103" s="356">
        <f t="shared" ref="E103:P103" si="103">E77+E85+E47</f>
        <v>159197.711</v>
      </c>
      <c r="F103" s="356">
        <f t="shared" si="103"/>
        <v>141045.7871</v>
      </c>
      <c r="G103" s="356">
        <f t="shared" si="103"/>
        <v>155241.266</v>
      </c>
      <c r="H103" s="356">
        <f t="shared" si="103"/>
        <v>165184.4298</v>
      </c>
      <c r="I103" s="356">
        <f t="shared" si="103"/>
        <v>186508.0878</v>
      </c>
      <c r="J103" s="356">
        <f t="shared" si="103"/>
        <v>236231.6711</v>
      </c>
      <c r="K103" s="356">
        <f t="shared" si="103"/>
        <v>263085.9727</v>
      </c>
      <c r="L103" s="356">
        <f t="shared" si="103"/>
        <v>291752.8788</v>
      </c>
      <c r="M103" s="356">
        <f t="shared" si="103"/>
        <v>321064.9638</v>
      </c>
      <c r="N103" s="356">
        <f t="shared" si="103"/>
        <v>342303.0209</v>
      </c>
      <c r="O103" s="356">
        <f t="shared" si="103"/>
        <v>343691.8726</v>
      </c>
      <c r="P103" s="356">
        <f t="shared" si="103"/>
        <v>344929.8373</v>
      </c>
      <c r="T103" s="358"/>
      <c r="U103" s="358"/>
      <c r="V103" s="358"/>
      <c r="W103" s="358"/>
      <c r="X103" s="358"/>
      <c r="Y103" s="358"/>
      <c r="Z103" s="358"/>
      <c r="AA103" s="359"/>
      <c r="AB103" s="359"/>
      <c r="AC103" s="359"/>
      <c r="AD103" s="359"/>
      <c r="AE103" s="359"/>
      <c r="AF103" s="359"/>
      <c r="AG103" s="359"/>
      <c r="AH103" s="359"/>
      <c r="AI103" s="359"/>
    </row>
    <row r="104" ht="27.0" customHeight="1">
      <c r="A104" s="360" t="s">
        <v>329</v>
      </c>
      <c r="B104" s="361">
        <f>C104/C103</f>
        <v>0.3281254959</v>
      </c>
      <c r="C104" s="362">
        <f t="shared" si="104"/>
        <v>968048.1423</v>
      </c>
      <c r="D104" s="363">
        <f t="shared" si="105"/>
        <v>80670.67853</v>
      </c>
      <c r="E104" s="362">
        <f t="shared" ref="E104:P104" si="106">E100+E78+E50</f>
        <v>5142.459149</v>
      </c>
      <c r="F104" s="362">
        <f t="shared" si="106"/>
        <v>4104.240237</v>
      </c>
      <c r="G104" s="362">
        <f t="shared" si="106"/>
        <v>14434.73227</v>
      </c>
      <c r="H104" s="362">
        <f t="shared" si="106"/>
        <v>25999.76098</v>
      </c>
      <c r="I104" s="362">
        <f t="shared" si="106"/>
        <v>42394.78983</v>
      </c>
      <c r="J104" s="362">
        <f t="shared" si="106"/>
        <v>74826.5919</v>
      </c>
      <c r="K104" s="362">
        <f t="shared" si="106"/>
        <v>93940.14507</v>
      </c>
      <c r="L104" s="362">
        <f t="shared" si="106"/>
        <v>113841.2554</v>
      </c>
      <c r="M104" s="362">
        <f t="shared" si="106"/>
        <v>133882.3545</v>
      </c>
      <c r="N104" s="362">
        <f t="shared" si="106"/>
        <v>149029.4204</v>
      </c>
      <c r="O104" s="362">
        <f t="shared" si="106"/>
        <v>155263.6982</v>
      </c>
      <c r="P104" s="362">
        <f t="shared" si="106"/>
        <v>155188.6945</v>
      </c>
      <c r="T104" s="364"/>
      <c r="U104" s="364"/>
      <c r="V104" s="364"/>
      <c r="W104" s="364"/>
      <c r="X104" s="364"/>
      <c r="Y104" s="364"/>
      <c r="Z104" s="364"/>
      <c r="AA104" s="365"/>
      <c r="AB104" s="365"/>
      <c r="AC104" s="365"/>
      <c r="AD104" s="365"/>
      <c r="AE104" s="365"/>
      <c r="AF104" s="365"/>
      <c r="AG104" s="365"/>
      <c r="AH104" s="365"/>
      <c r="AI104" s="365"/>
    </row>
    <row r="105" ht="15.75" customHeight="1">
      <c r="A105" s="366" t="s">
        <v>330</v>
      </c>
      <c r="B105" s="367"/>
      <c r="C105" s="368">
        <f t="shared" si="104"/>
        <v>2591346.933</v>
      </c>
      <c r="D105" s="369">
        <f t="shared" si="105"/>
        <v>215945.5778</v>
      </c>
      <c r="E105" s="370">
        <f t="shared" ref="E105:P105" si="107">E13+E85</f>
        <v>82440.26667</v>
      </c>
      <c r="F105" s="370">
        <f t="shared" si="107"/>
        <v>109280</v>
      </c>
      <c r="G105" s="370">
        <f t="shared" si="107"/>
        <v>145706.6667</v>
      </c>
      <c r="H105" s="370">
        <f t="shared" si="107"/>
        <v>174357.3333</v>
      </c>
      <c r="I105" s="370">
        <f t="shared" si="107"/>
        <v>190208</v>
      </c>
      <c r="J105" s="370">
        <f t="shared" si="107"/>
        <v>222698.6667</v>
      </c>
      <c r="K105" s="370">
        <f t="shared" si="107"/>
        <v>239829.3333</v>
      </c>
      <c r="L105" s="370">
        <f t="shared" si="107"/>
        <v>276160</v>
      </c>
      <c r="M105" s="370">
        <f t="shared" si="107"/>
        <v>294570.6667</v>
      </c>
      <c r="N105" s="370">
        <f t="shared" si="107"/>
        <v>303776</v>
      </c>
      <c r="O105" s="370">
        <f t="shared" si="107"/>
        <v>276160</v>
      </c>
      <c r="P105" s="370">
        <f t="shared" si="107"/>
        <v>276160</v>
      </c>
    </row>
    <row r="106" ht="15.75" customHeight="1">
      <c r="A106" s="371"/>
      <c r="C106" s="371"/>
      <c r="D106" s="372"/>
      <c r="E106" s="373">
        <f>SUM(E105:G105)</f>
        <v>337426.9333</v>
      </c>
      <c r="H106" s="374">
        <f>SUM(H105:J105)</f>
        <v>587264</v>
      </c>
      <c r="K106" s="373">
        <f>SUM(K105:M105)</f>
        <v>810560</v>
      </c>
      <c r="N106" s="374">
        <f>SUM(N105:P105)</f>
        <v>856096</v>
      </c>
    </row>
    <row r="107" ht="15.75" customHeight="1"/>
    <row r="108" ht="15.75" customHeight="1">
      <c r="E108" s="202">
        <f t="shared" ref="E108:P108" si="108">10%*E103</f>
        <v>15919.7711</v>
      </c>
      <c r="F108" s="202">
        <f t="shared" si="108"/>
        <v>14104.57871</v>
      </c>
      <c r="G108" s="202">
        <f t="shared" si="108"/>
        <v>15524.1266</v>
      </c>
      <c r="H108" s="202">
        <f t="shared" si="108"/>
        <v>16518.44298</v>
      </c>
      <c r="I108" s="202">
        <f t="shared" si="108"/>
        <v>18650.80878</v>
      </c>
      <c r="J108" s="202">
        <f t="shared" si="108"/>
        <v>23623.16711</v>
      </c>
      <c r="K108" s="202">
        <f t="shared" si="108"/>
        <v>26308.59727</v>
      </c>
      <c r="L108" s="202">
        <f t="shared" si="108"/>
        <v>29175.28788</v>
      </c>
      <c r="M108" s="202">
        <f t="shared" si="108"/>
        <v>32106.49638</v>
      </c>
      <c r="N108" s="202">
        <f t="shared" si="108"/>
        <v>34230.30209</v>
      </c>
      <c r="O108" s="202">
        <f t="shared" si="108"/>
        <v>34369.18726</v>
      </c>
      <c r="P108" s="202">
        <f t="shared" si="108"/>
        <v>34492.98373</v>
      </c>
    </row>
    <row r="109" ht="15.75" customHeight="1">
      <c r="C109" s="375">
        <v>5000.0</v>
      </c>
      <c r="D109" s="191" t="s">
        <v>246</v>
      </c>
      <c r="E109" s="192">
        <f t="shared" ref="E109:P109" si="109">$C$109*E5</f>
        <v>10000</v>
      </c>
      <c r="F109" s="192">
        <f t="shared" si="109"/>
        <v>10000</v>
      </c>
      <c r="G109" s="192">
        <f t="shared" si="109"/>
        <v>10000</v>
      </c>
      <c r="H109" s="192">
        <f t="shared" si="109"/>
        <v>10000</v>
      </c>
      <c r="I109" s="192">
        <f t="shared" si="109"/>
        <v>10000</v>
      </c>
      <c r="J109" s="192">
        <f t="shared" si="109"/>
        <v>10000</v>
      </c>
      <c r="K109" s="192">
        <f t="shared" si="109"/>
        <v>10000</v>
      </c>
      <c r="L109" s="192">
        <f t="shared" si="109"/>
        <v>10000</v>
      </c>
      <c r="M109" s="192">
        <f t="shared" si="109"/>
        <v>10000</v>
      </c>
      <c r="N109" s="192">
        <f t="shared" si="109"/>
        <v>10000</v>
      </c>
      <c r="O109" s="192">
        <f t="shared" si="109"/>
        <v>10000</v>
      </c>
      <c r="P109" s="192">
        <f t="shared" si="109"/>
        <v>10000</v>
      </c>
    </row>
    <row r="110" ht="15.75" customHeight="1">
      <c r="A110" s="164"/>
      <c r="B110" s="196"/>
      <c r="C110" s="376"/>
      <c r="D110" s="196" t="s">
        <v>331</v>
      </c>
      <c r="E110" s="224">
        <f t="shared" ref="E110:P110" si="110">(E84+E66+E11)/E5</f>
        <v>4.92</v>
      </c>
      <c r="F110" s="224">
        <f t="shared" si="110"/>
        <v>5.904</v>
      </c>
      <c r="G110" s="224">
        <f t="shared" si="110"/>
        <v>7.872</v>
      </c>
      <c r="H110" s="224">
        <f t="shared" si="110"/>
        <v>8.6592</v>
      </c>
      <c r="I110" s="224">
        <f t="shared" si="110"/>
        <v>9.4464</v>
      </c>
      <c r="J110" s="224">
        <f t="shared" si="110"/>
        <v>10.2336</v>
      </c>
      <c r="K110" s="224">
        <f t="shared" si="110"/>
        <v>11.0208</v>
      </c>
      <c r="L110" s="224">
        <f t="shared" si="110"/>
        <v>11.808</v>
      </c>
      <c r="M110" s="224">
        <f t="shared" si="110"/>
        <v>12.5952</v>
      </c>
      <c r="N110" s="224">
        <f t="shared" si="110"/>
        <v>12.9888</v>
      </c>
      <c r="O110" s="224">
        <f t="shared" si="110"/>
        <v>11.808</v>
      </c>
      <c r="P110" s="224">
        <f t="shared" si="110"/>
        <v>11.808</v>
      </c>
    </row>
    <row r="111" ht="15.75" customHeight="1">
      <c r="A111" s="164"/>
      <c r="B111" s="196"/>
      <c r="C111" s="196"/>
      <c r="D111" s="377"/>
      <c r="E111" s="197">
        <f t="shared" ref="E111:P111" si="111">IF(E110&lt;=$C$126,$C$125,IF(E110&lt;=$D$126,$D$125,IF(E110&lt;=$E$126,$E$125,IF(E110&lt;$F$126,$E$125,$F$125))))</f>
        <v>0.025</v>
      </c>
      <c r="F111" s="197">
        <f t="shared" si="111"/>
        <v>0.025</v>
      </c>
      <c r="G111" s="197">
        <f t="shared" si="111"/>
        <v>0.05</v>
      </c>
      <c r="H111" s="197">
        <f t="shared" si="111"/>
        <v>0.05</v>
      </c>
      <c r="I111" s="197">
        <f t="shared" si="111"/>
        <v>0.05</v>
      </c>
      <c r="J111" s="197">
        <f t="shared" si="111"/>
        <v>0.05</v>
      </c>
      <c r="K111" s="197">
        <f t="shared" si="111"/>
        <v>0.05</v>
      </c>
      <c r="L111" s="197">
        <f t="shared" si="111"/>
        <v>0.05</v>
      </c>
      <c r="M111" s="197">
        <f t="shared" si="111"/>
        <v>0.05</v>
      </c>
      <c r="N111" s="197">
        <f t="shared" si="111"/>
        <v>0.05</v>
      </c>
      <c r="O111" s="197">
        <f t="shared" si="111"/>
        <v>0.05</v>
      </c>
      <c r="P111" s="197">
        <f t="shared" si="111"/>
        <v>0.05</v>
      </c>
    </row>
    <row r="112" ht="15.75" customHeight="1">
      <c r="A112" s="164"/>
      <c r="B112" s="196"/>
      <c r="C112" s="196"/>
      <c r="D112" s="377" t="s">
        <v>332</v>
      </c>
      <c r="E112" s="192">
        <f t="shared" ref="E112:P112" si="112">E111*(SUM(E85,E70,E13))</f>
        <v>2061.006667</v>
      </c>
      <c r="F112" s="192">
        <f t="shared" si="112"/>
        <v>2732</v>
      </c>
      <c r="G112" s="192">
        <f t="shared" si="112"/>
        <v>7285.333333</v>
      </c>
      <c r="H112" s="192">
        <f t="shared" si="112"/>
        <v>8717.866667</v>
      </c>
      <c r="I112" s="192">
        <f t="shared" si="112"/>
        <v>9510.4</v>
      </c>
      <c r="J112" s="192">
        <f t="shared" si="112"/>
        <v>12174.93333</v>
      </c>
      <c r="K112" s="192">
        <f t="shared" si="112"/>
        <v>13111.46667</v>
      </c>
      <c r="L112" s="192">
        <f t="shared" si="112"/>
        <v>15008</v>
      </c>
      <c r="M112" s="192">
        <f t="shared" si="112"/>
        <v>16008.53333</v>
      </c>
      <c r="N112" s="192">
        <f t="shared" si="112"/>
        <v>16508.8</v>
      </c>
      <c r="O112" s="192">
        <f t="shared" si="112"/>
        <v>15008</v>
      </c>
      <c r="P112" s="192">
        <f t="shared" si="112"/>
        <v>15008</v>
      </c>
    </row>
    <row r="113" ht="15.75" customHeight="1">
      <c r="B113" s="191"/>
      <c r="C113" s="191"/>
      <c r="D113" s="378" t="s">
        <v>313</v>
      </c>
      <c r="E113" s="379">
        <f t="shared" ref="E113:P113" si="113">E104+E108-E109-E112</f>
        <v>9001.22358</v>
      </c>
      <c r="F113" s="379">
        <f t="shared" si="113"/>
        <v>5476.818951</v>
      </c>
      <c r="G113" s="379">
        <f t="shared" si="113"/>
        <v>12673.52554</v>
      </c>
      <c r="H113" s="379">
        <f t="shared" si="113"/>
        <v>23800.33729</v>
      </c>
      <c r="I113" s="379">
        <f t="shared" si="113"/>
        <v>41535.19861</v>
      </c>
      <c r="J113" s="379">
        <f t="shared" si="113"/>
        <v>76274.82568</v>
      </c>
      <c r="K113" s="379">
        <f t="shared" si="113"/>
        <v>97137.27568</v>
      </c>
      <c r="L113" s="379">
        <f t="shared" si="113"/>
        <v>118008.5432</v>
      </c>
      <c r="M113" s="379">
        <f t="shared" si="113"/>
        <v>139980.3175</v>
      </c>
      <c r="N113" s="379">
        <f t="shared" si="113"/>
        <v>156750.9225</v>
      </c>
      <c r="O113" s="379">
        <f t="shared" si="113"/>
        <v>164624.8855</v>
      </c>
      <c r="P113" s="379">
        <f t="shared" si="113"/>
        <v>164673.6782</v>
      </c>
    </row>
    <row r="114" ht="15.75" customHeight="1">
      <c r="B114" s="191"/>
      <c r="C114" s="191"/>
      <c r="D114" s="191"/>
      <c r="E114" s="191"/>
      <c r="F114" s="191"/>
      <c r="I114" s="196">
        <v>1.0</v>
      </c>
      <c r="K114" s="196">
        <v>2.0</v>
      </c>
      <c r="O114" s="196"/>
      <c r="P114" s="196">
        <v>3.0</v>
      </c>
    </row>
    <row r="115" ht="15.75" customHeight="1">
      <c r="E115" s="65">
        <f t="shared" ref="E115:P115" si="114">E111*(E85+E70+E13)</f>
        <v>2061.006667</v>
      </c>
      <c r="F115" s="65">
        <f t="shared" si="114"/>
        <v>2732</v>
      </c>
      <c r="G115" s="65">
        <f t="shared" si="114"/>
        <v>7285.333333</v>
      </c>
      <c r="H115" s="65">
        <f t="shared" si="114"/>
        <v>8717.866667</v>
      </c>
      <c r="I115" s="65">
        <f t="shared" si="114"/>
        <v>9510.4</v>
      </c>
      <c r="J115" s="65">
        <f t="shared" si="114"/>
        <v>12174.93333</v>
      </c>
      <c r="K115" s="65">
        <f t="shared" si="114"/>
        <v>13111.46667</v>
      </c>
      <c r="L115" s="65">
        <f t="shared" si="114"/>
        <v>15008</v>
      </c>
      <c r="M115" s="65">
        <f t="shared" si="114"/>
        <v>16008.53333</v>
      </c>
      <c r="N115" s="65">
        <f t="shared" si="114"/>
        <v>16508.8</v>
      </c>
      <c r="O115" s="65">
        <f t="shared" si="114"/>
        <v>15008</v>
      </c>
      <c r="P115" s="65">
        <f t="shared" si="114"/>
        <v>15008</v>
      </c>
    </row>
    <row r="116" ht="15.75" customHeight="1">
      <c r="E116" s="79">
        <f>E111*E103</f>
        <v>3979.942774</v>
      </c>
    </row>
    <row r="117" ht="15.75" customHeight="1"/>
    <row r="118" ht="15.75" customHeight="1">
      <c r="D118" s="196" t="s">
        <v>333</v>
      </c>
      <c r="E118" s="65">
        <f t="shared" ref="E118:P118" si="115">E9*E12</f>
        <v>198042.5</v>
      </c>
      <c r="F118" s="65">
        <f t="shared" si="115"/>
        <v>270000</v>
      </c>
      <c r="G118" s="65">
        <f t="shared" si="115"/>
        <v>360000</v>
      </c>
      <c r="H118" s="65">
        <f t="shared" si="115"/>
        <v>440000</v>
      </c>
      <c r="I118" s="65">
        <f t="shared" si="115"/>
        <v>480000</v>
      </c>
      <c r="J118" s="65">
        <f t="shared" si="115"/>
        <v>572000</v>
      </c>
      <c r="K118" s="65">
        <f t="shared" si="115"/>
        <v>616000</v>
      </c>
      <c r="L118" s="65">
        <f t="shared" si="115"/>
        <v>720000</v>
      </c>
      <c r="M118" s="65">
        <f t="shared" si="115"/>
        <v>768000</v>
      </c>
      <c r="N118" s="65">
        <f t="shared" si="115"/>
        <v>792000</v>
      </c>
      <c r="O118" s="65">
        <f t="shared" si="115"/>
        <v>720000</v>
      </c>
      <c r="P118" s="65">
        <f t="shared" si="115"/>
        <v>720000</v>
      </c>
    </row>
    <row r="119" ht="15.75" customHeight="1">
      <c r="I119" s="80"/>
      <c r="J119" s="80"/>
      <c r="K119" s="80"/>
      <c r="L119" s="80"/>
      <c r="M119" s="80"/>
      <c r="N119" s="80"/>
      <c r="O119" s="80"/>
      <c r="P119" s="80"/>
    </row>
    <row r="120" ht="15.75" customHeight="1">
      <c r="I120" s="154"/>
      <c r="J120" s="154"/>
      <c r="K120" s="154"/>
      <c r="L120" s="154"/>
      <c r="M120" s="154"/>
      <c r="N120" s="154"/>
      <c r="O120" s="154"/>
      <c r="P120" s="154"/>
    </row>
    <row r="121" ht="15.75" customHeight="1"/>
    <row r="122" ht="15.75" customHeight="1">
      <c r="C122" s="376">
        <f t="shared" ref="C122:G122" si="116">C126/14</f>
        <v>0.2857142857</v>
      </c>
      <c r="D122" s="376">
        <f t="shared" si="116"/>
        <v>0.5</v>
      </c>
      <c r="E122" s="376">
        <f t="shared" si="116"/>
        <v>0.8571428571</v>
      </c>
      <c r="F122" s="376">
        <f t="shared" si="116"/>
        <v>1</v>
      </c>
      <c r="G122" s="376">
        <f t="shared" si="116"/>
        <v>1.285714286</v>
      </c>
    </row>
    <row r="123" ht="15.75" customHeight="1">
      <c r="B123" s="191"/>
      <c r="C123" s="191" t="s">
        <v>233</v>
      </c>
      <c r="D123" s="191" t="s">
        <v>234</v>
      </c>
      <c r="E123" s="191" t="s">
        <v>235</v>
      </c>
      <c r="F123" s="191" t="s">
        <v>236</v>
      </c>
    </row>
    <row r="124" ht="15.75" customHeight="1">
      <c r="B124" s="196" t="s">
        <v>238</v>
      </c>
      <c r="C124" s="193">
        <v>10000.0</v>
      </c>
      <c r="D124" s="193">
        <v>10000.0</v>
      </c>
      <c r="E124" s="193">
        <v>10000.0</v>
      </c>
      <c r="F124" s="193">
        <v>10000.0</v>
      </c>
    </row>
    <row r="125" ht="15.75" customHeight="1">
      <c r="B125" s="196" t="s">
        <v>240</v>
      </c>
      <c r="C125" s="201">
        <v>0.0</v>
      </c>
      <c r="D125" s="218">
        <v>0.025</v>
      </c>
      <c r="E125" s="201">
        <v>0.05</v>
      </c>
      <c r="F125" s="201">
        <v>0.1</v>
      </c>
    </row>
    <row r="126" ht="15.75" customHeight="1">
      <c r="B126" s="196" t="s">
        <v>242</v>
      </c>
      <c r="C126" s="191">
        <v>4.0</v>
      </c>
      <c r="D126" s="191">
        <v>7.0</v>
      </c>
      <c r="E126" s="191">
        <v>12.0</v>
      </c>
      <c r="F126" s="191">
        <v>14.0</v>
      </c>
      <c r="G126" s="196">
        <v>18.0</v>
      </c>
    </row>
    <row r="127" ht="15.75" customHeight="1">
      <c r="B127" s="196" t="s">
        <v>244</v>
      </c>
      <c r="C127" s="202">
        <f t="shared" ref="C127:F127" si="117">C126*C124</f>
        <v>40000</v>
      </c>
      <c r="D127" s="202">
        <f t="shared" si="117"/>
        <v>70000</v>
      </c>
      <c r="E127" s="202">
        <f t="shared" si="117"/>
        <v>120000</v>
      </c>
      <c r="F127" s="202">
        <f t="shared" si="117"/>
        <v>140000</v>
      </c>
      <c r="G127" s="80"/>
      <c r="H127" s="80"/>
    </row>
    <row r="128" ht="15.75" customHeight="1">
      <c r="B128" s="196" t="s">
        <v>246</v>
      </c>
      <c r="C128" s="193">
        <f>C109</f>
        <v>5000</v>
      </c>
      <c r="D128" s="193">
        <f t="shared" ref="D128:F128" si="118">C128</f>
        <v>5000</v>
      </c>
      <c r="E128" s="193">
        <f t="shared" si="118"/>
        <v>5000</v>
      </c>
      <c r="F128" s="193">
        <f t="shared" si="118"/>
        <v>5000</v>
      </c>
      <c r="G128" s="154"/>
      <c r="H128" s="154"/>
    </row>
    <row r="129" ht="15.75" customHeight="1">
      <c r="B129" s="196" t="s">
        <v>248</v>
      </c>
      <c r="C129" s="202">
        <f t="shared" ref="C129:F129" si="119">C125*C127</f>
        <v>0</v>
      </c>
      <c r="D129" s="202">
        <f t="shared" si="119"/>
        <v>1750</v>
      </c>
      <c r="E129" s="202">
        <f t="shared" si="119"/>
        <v>6000</v>
      </c>
      <c r="F129" s="202">
        <f t="shared" si="119"/>
        <v>14000</v>
      </c>
    </row>
    <row r="130" ht="15.75" customHeight="1">
      <c r="A130" s="81"/>
      <c r="B130" s="196" t="s">
        <v>250</v>
      </c>
      <c r="C130" s="225">
        <f t="shared" ref="C130:F130" si="120">C128+C127*C125</f>
        <v>5000</v>
      </c>
      <c r="D130" s="225">
        <f t="shared" si="120"/>
        <v>6750</v>
      </c>
      <c r="E130" s="225">
        <f t="shared" si="120"/>
        <v>11000</v>
      </c>
      <c r="F130" s="225">
        <f t="shared" si="120"/>
        <v>19000</v>
      </c>
    </row>
    <row r="131" ht="15.75" customHeight="1">
      <c r="A131" s="164"/>
      <c r="B131" s="196" t="s">
        <v>251</v>
      </c>
      <c r="C131" s="197">
        <f t="shared" ref="C131:F131" si="121">C128/C127</f>
        <v>0.125</v>
      </c>
      <c r="D131" s="197">
        <f t="shared" si="121"/>
        <v>0.07142857143</v>
      </c>
      <c r="E131" s="197">
        <f t="shared" si="121"/>
        <v>0.04166666667</v>
      </c>
      <c r="F131" s="197">
        <f t="shared" si="121"/>
        <v>0.03571428571</v>
      </c>
    </row>
    <row r="132" ht="15.75" customHeight="1">
      <c r="B132" s="233" t="s">
        <v>253</v>
      </c>
      <c r="C132" s="225">
        <f t="shared" ref="C132:F132" si="122">C127-C130</f>
        <v>35000</v>
      </c>
      <c r="D132" s="225">
        <f t="shared" si="122"/>
        <v>63250</v>
      </c>
      <c r="E132" s="225">
        <f t="shared" si="122"/>
        <v>109000</v>
      </c>
      <c r="F132" s="225">
        <f t="shared" si="122"/>
        <v>121000</v>
      </c>
    </row>
    <row r="133" ht="15.75" customHeight="1">
      <c r="B133" s="196" t="s">
        <v>255</v>
      </c>
      <c r="C133" s="202">
        <f t="shared" ref="C133:F133" si="123">25%*C127</f>
        <v>10000</v>
      </c>
      <c r="D133" s="202">
        <f t="shared" si="123"/>
        <v>17500</v>
      </c>
      <c r="E133" s="202">
        <f t="shared" si="123"/>
        <v>30000</v>
      </c>
      <c r="F133" s="202">
        <f t="shared" si="123"/>
        <v>35000</v>
      </c>
    </row>
    <row r="134" ht="15.75" customHeight="1">
      <c r="B134" s="196" t="s">
        <v>257</v>
      </c>
      <c r="C134" s="202">
        <f t="shared" ref="C134:F134" si="124">C133-C130</f>
        <v>5000</v>
      </c>
      <c r="D134" s="202">
        <f t="shared" si="124"/>
        <v>10750</v>
      </c>
      <c r="E134" s="202">
        <f t="shared" si="124"/>
        <v>19000</v>
      </c>
      <c r="F134" s="202">
        <f t="shared" si="124"/>
        <v>16000</v>
      </c>
      <c r="G134" s="196" t="s">
        <v>334</v>
      </c>
    </row>
    <row r="135" ht="15.75" customHeight="1">
      <c r="B135" s="88"/>
      <c r="D135" s="196">
        <v>1.0</v>
      </c>
      <c r="E135" s="196">
        <v>2.0</v>
      </c>
      <c r="F135" s="196">
        <v>3.0</v>
      </c>
      <c r="G135" s="196" t="s">
        <v>335</v>
      </c>
    </row>
    <row r="136" ht="15.75" customHeight="1">
      <c r="B136" s="191"/>
      <c r="C136" s="191" t="s">
        <v>233</v>
      </c>
      <c r="D136" s="191" t="s">
        <v>234</v>
      </c>
      <c r="E136" s="191" t="s">
        <v>235</v>
      </c>
      <c r="F136" s="191" t="s">
        <v>236</v>
      </c>
      <c r="G136" s="196"/>
    </row>
    <row r="137" ht="15.75" customHeight="1">
      <c r="B137" s="196" t="s">
        <v>238</v>
      </c>
      <c r="C137" s="193">
        <v>10000.0</v>
      </c>
      <c r="D137" s="193">
        <v>10000.0</v>
      </c>
      <c r="E137" s="193">
        <v>10000.0</v>
      </c>
      <c r="F137" s="193">
        <v>10000.0</v>
      </c>
      <c r="G137" s="196">
        <f>10000</f>
        <v>10000</v>
      </c>
      <c r="H137" s="79">
        <f>20</f>
        <v>20</v>
      </c>
    </row>
    <row r="138" ht="15.75" customHeight="1">
      <c r="B138" s="196" t="s">
        <v>240</v>
      </c>
      <c r="C138" s="380">
        <v>0.0</v>
      </c>
      <c r="D138" s="380">
        <v>0.01</v>
      </c>
      <c r="E138" s="201">
        <v>0.02</v>
      </c>
      <c r="F138" s="380">
        <v>0.04</v>
      </c>
      <c r="G138" s="196">
        <v>3.0</v>
      </c>
      <c r="H138" s="79">
        <f>H137*0.9</f>
        <v>18</v>
      </c>
    </row>
    <row r="139" ht="15.75" customHeight="1">
      <c r="B139" s="196" t="s">
        <v>336</v>
      </c>
      <c r="C139" s="381">
        <v>7.0</v>
      </c>
      <c r="D139" s="381">
        <v>15.0</v>
      </c>
      <c r="E139" s="381">
        <v>25.0</v>
      </c>
      <c r="F139" s="381">
        <v>40.0</v>
      </c>
      <c r="G139" s="196">
        <v>4.0</v>
      </c>
      <c r="H139" s="79">
        <f>H138*1/3</f>
        <v>6</v>
      </c>
    </row>
    <row r="140" ht="15.75" customHeight="1">
      <c r="B140" s="196" t="s">
        <v>337</v>
      </c>
      <c r="C140" s="191">
        <v>30.0</v>
      </c>
      <c r="D140" s="191">
        <v>40.0</v>
      </c>
      <c r="E140" s="191">
        <v>50.0</v>
      </c>
      <c r="F140" s="191">
        <v>60.0</v>
      </c>
      <c r="G140" s="196">
        <v>8.0</v>
      </c>
      <c r="H140" s="79">
        <f>H139*10000</f>
        <v>60000</v>
      </c>
    </row>
    <row r="141" ht="15.75" customHeight="1">
      <c r="B141" s="196" t="s">
        <v>244</v>
      </c>
      <c r="C141" s="202">
        <f t="shared" ref="C141:F141" si="125">C124*C126</f>
        <v>40000</v>
      </c>
      <c r="D141" s="202">
        <f t="shared" si="125"/>
        <v>70000</v>
      </c>
      <c r="E141" s="202">
        <f t="shared" si="125"/>
        <v>120000</v>
      </c>
      <c r="F141" s="202">
        <f t="shared" si="125"/>
        <v>140000</v>
      </c>
      <c r="G141" s="79">
        <f>G137/G140</f>
        <v>1250</v>
      </c>
      <c r="H141" s="79">
        <f>H140*3%</f>
        <v>1800</v>
      </c>
    </row>
    <row r="142" ht="15.75" customHeight="1">
      <c r="B142" s="196" t="s">
        <v>246</v>
      </c>
      <c r="C142" s="193">
        <v>0.0</v>
      </c>
      <c r="D142" s="193">
        <f t="shared" ref="D142:F142" si="126">C142</f>
        <v>0</v>
      </c>
      <c r="E142" s="193">
        <f t="shared" si="126"/>
        <v>0</v>
      </c>
      <c r="F142" s="193">
        <f t="shared" si="126"/>
        <v>0</v>
      </c>
      <c r="G142" s="79">
        <f>5%</f>
        <v>0.05</v>
      </c>
      <c r="H142" s="79">
        <f>H141/H137</f>
        <v>90</v>
      </c>
    </row>
    <row r="143" ht="15.75" customHeight="1">
      <c r="B143" s="196" t="s">
        <v>248</v>
      </c>
      <c r="C143" s="202">
        <f t="shared" ref="C143:F143" si="127">C138*C141</f>
        <v>0</v>
      </c>
      <c r="D143" s="202">
        <f t="shared" si="127"/>
        <v>700</v>
      </c>
      <c r="E143" s="202">
        <f t="shared" si="127"/>
        <v>2400</v>
      </c>
      <c r="F143" s="202">
        <f t="shared" si="127"/>
        <v>5600</v>
      </c>
    </row>
    <row r="144" ht="15.75" customHeight="1">
      <c r="B144" s="196" t="s">
        <v>250</v>
      </c>
      <c r="C144" s="225">
        <f t="shared" ref="C144:F144" si="128">C142+C141*C138</f>
        <v>0</v>
      </c>
      <c r="D144" s="225">
        <f t="shared" si="128"/>
        <v>700</v>
      </c>
      <c r="E144" s="225">
        <f t="shared" si="128"/>
        <v>2400</v>
      </c>
      <c r="F144" s="225">
        <f t="shared" si="128"/>
        <v>5600</v>
      </c>
      <c r="H144" s="79">
        <f>10000/5</f>
        <v>2000</v>
      </c>
    </row>
    <row r="145" ht="15.75" customHeight="1">
      <c r="B145" s="196" t="s">
        <v>251</v>
      </c>
      <c r="C145" s="197">
        <f t="shared" ref="C145:F145" si="129">C142/C141</f>
        <v>0</v>
      </c>
      <c r="D145" s="197">
        <f t="shared" si="129"/>
        <v>0</v>
      </c>
      <c r="E145" s="197">
        <f t="shared" si="129"/>
        <v>0</v>
      </c>
      <c r="F145" s="197">
        <f t="shared" si="129"/>
        <v>0</v>
      </c>
    </row>
    <row r="146" ht="15.75" customHeight="1">
      <c r="B146" s="233" t="s">
        <v>253</v>
      </c>
      <c r="C146" s="225">
        <f t="shared" ref="C146:F146" si="130">C141-C144</f>
        <v>40000</v>
      </c>
      <c r="D146" s="225">
        <f t="shared" si="130"/>
        <v>69300</v>
      </c>
      <c r="E146" s="225">
        <f t="shared" si="130"/>
        <v>117600</v>
      </c>
      <c r="F146" s="225">
        <f t="shared" si="130"/>
        <v>134400</v>
      </c>
    </row>
    <row r="147" ht="15.75" customHeight="1">
      <c r="B147" s="196" t="s">
        <v>255</v>
      </c>
      <c r="C147" s="202">
        <f t="shared" ref="C147:F147" si="131">25%*C141</f>
        <v>10000</v>
      </c>
      <c r="D147" s="202">
        <f t="shared" si="131"/>
        <v>17500</v>
      </c>
      <c r="E147" s="202">
        <f t="shared" si="131"/>
        <v>30000</v>
      </c>
      <c r="F147" s="202">
        <f t="shared" si="131"/>
        <v>35000</v>
      </c>
    </row>
    <row r="148" ht="15.75" customHeight="1">
      <c r="B148" s="196" t="s">
        <v>257</v>
      </c>
      <c r="C148" s="202">
        <f t="shared" ref="C148:F148" si="132">C147-C144</f>
        <v>10000</v>
      </c>
      <c r="D148" s="202">
        <f t="shared" si="132"/>
        <v>16800</v>
      </c>
      <c r="E148" s="202">
        <f t="shared" si="132"/>
        <v>27600</v>
      </c>
      <c r="F148" s="202">
        <f t="shared" si="132"/>
        <v>29400</v>
      </c>
    </row>
    <row r="149" ht="15.75" customHeight="1">
      <c r="B149" s="196" t="s">
        <v>338</v>
      </c>
      <c r="C149" s="382">
        <v>2500.0</v>
      </c>
      <c r="D149" s="225">
        <f t="shared" ref="D149:F149" si="133">C149</f>
        <v>2500</v>
      </c>
      <c r="E149" s="225">
        <f t="shared" si="133"/>
        <v>2500</v>
      </c>
      <c r="F149" s="225">
        <f t="shared" si="133"/>
        <v>2500</v>
      </c>
    </row>
    <row r="150" ht="15.75" customHeight="1">
      <c r="B150" s="196" t="s">
        <v>339</v>
      </c>
    </row>
    <row r="151" ht="15.75" customHeight="1">
      <c r="C151" s="383">
        <f t="shared" ref="C151:F151" si="134">C149+C144</f>
        <v>2500</v>
      </c>
      <c r="D151" s="383">
        <f t="shared" si="134"/>
        <v>3200</v>
      </c>
      <c r="E151" s="383">
        <f t="shared" si="134"/>
        <v>4900</v>
      </c>
      <c r="F151" s="383">
        <f t="shared" si="134"/>
        <v>8100</v>
      </c>
      <c r="G151" s="196" t="s">
        <v>340</v>
      </c>
    </row>
    <row r="152" ht="15.75" customHeight="1">
      <c r="C152" s="384">
        <v>0.0</v>
      </c>
      <c r="D152" s="384">
        <v>1.0</v>
      </c>
      <c r="E152" s="384">
        <v>2.0</v>
      </c>
      <c r="F152" s="384">
        <v>3.0</v>
      </c>
    </row>
    <row r="153" ht="15.75" customHeight="1">
      <c r="C153" s="384">
        <v>0.0</v>
      </c>
      <c r="D153" s="384">
        <v>1.0</v>
      </c>
      <c r="E153" s="384">
        <v>2.0</v>
      </c>
      <c r="F153" s="384">
        <v>3.0</v>
      </c>
    </row>
    <row r="154" ht="15.75" customHeight="1">
      <c r="C154" s="384">
        <v>0.0</v>
      </c>
      <c r="D154" s="384">
        <v>0.0</v>
      </c>
      <c r="E154" s="384">
        <v>0.0</v>
      </c>
      <c r="F154" s="384">
        <v>0.0</v>
      </c>
    </row>
    <row r="155" ht="15.75" customHeight="1">
      <c r="B155" s="196" t="s">
        <v>341</v>
      </c>
      <c r="C155" s="90"/>
    </row>
    <row r="156" ht="15.75" customHeight="1">
      <c r="B156" s="196" t="s">
        <v>342</v>
      </c>
    </row>
    <row r="157" ht="15.75" customHeight="1">
      <c r="B157" s="196" t="s">
        <v>343</v>
      </c>
    </row>
    <row r="158" ht="15.75" customHeight="1">
      <c r="C158" s="385" t="s">
        <v>344</v>
      </c>
    </row>
    <row r="159" ht="15.75" customHeight="1">
      <c r="C159" s="196" t="s">
        <v>345</v>
      </c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7">
    <mergeCell ref="A105:A106"/>
    <mergeCell ref="C105:C106"/>
    <mergeCell ref="D105:D106"/>
    <mergeCell ref="E106:G106"/>
    <mergeCell ref="H106:J106"/>
    <mergeCell ref="K106:M106"/>
    <mergeCell ref="N106:P106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1" max="1" width="34.33"/>
    <col customWidth="1" min="2" max="5" width="20.56"/>
    <col customWidth="1" min="6" max="7" width="19.44"/>
    <col customWidth="1" min="8" max="8" width="21.67"/>
    <col customWidth="1" min="9" max="9" width="17.11"/>
    <col customWidth="1" min="10" max="10" width="18.0"/>
    <col customWidth="1" min="11" max="13" width="17.11"/>
    <col customWidth="1" min="14" max="20" width="16.33"/>
  </cols>
  <sheetData>
    <row r="1" ht="15.75" customHeight="1">
      <c r="A1" s="386" t="s">
        <v>346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</row>
    <row r="2" ht="15.75" customHeight="1">
      <c r="A2" s="163" t="s">
        <v>129</v>
      </c>
      <c r="B2" s="96"/>
      <c r="C2" s="96"/>
      <c r="D2" s="96"/>
      <c r="E2" s="204" t="s">
        <v>40</v>
      </c>
      <c r="F2" s="96" t="s">
        <v>229</v>
      </c>
      <c r="G2" s="96"/>
      <c r="H2" s="205" t="s">
        <v>230</v>
      </c>
      <c r="I2" s="96">
        <v>1.0</v>
      </c>
      <c r="J2" s="96">
        <v>2.0</v>
      </c>
      <c r="K2" s="96">
        <v>3.0</v>
      </c>
      <c r="L2" s="96">
        <v>4.0</v>
      </c>
      <c r="M2" s="96">
        <v>5.0</v>
      </c>
      <c r="N2" s="96">
        <v>6.0</v>
      </c>
      <c r="O2" s="96">
        <v>7.0</v>
      </c>
      <c r="P2" s="96">
        <v>8.0</v>
      </c>
      <c r="Q2" s="96">
        <v>9.0</v>
      </c>
      <c r="R2" s="96">
        <v>10.0</v>
      </c>
      <c r="S2" s="96">
        <v>11.0</v>
      </c>
      <c r="T2" s="96">
        <v>12.0</v>
      </c>
    </row>
    <row r="3" ht="15.75" customHeight="1">
      <c r="A3" s="104" t="s">
        <v>249</v>
      </c>
      <c r="B3" s="133"/>
      <c r="C3" s="133"/>
      <c r="D3" s="133"/>
      <c r="E3" s="210">
        <f>'Projeção Biel Ajustada'!B11</f>
        <v>193.6</v>
      </c>
      <c r="F3" s="133">
        <f>'Projeção Biel Ajustada'!C11</f>
        <v>15.50769231</v>
      </c>
      <c r="G3" s="133"/>
      <c r="H3" s="137">
        <f>'Projeção Biel Ajustada'!D11</f>
        <v>8</v>
      </c>
      <c r="I3" s="133">
        <f>'Projeção Biel Ajustada'!E11</f>
        <v>8</v>
      </c>
      <c r="J3" s="133">
        <f>'Projeção Biel Ajustada'!F11</f>
        <v>9.6</v>
      </c>
      <c r="K3" s="133">
        <f>'Projeção Biel Ajustada'!G11</f>
        <v>12.8</v>
      </c>
      <c r="L3" s="133">
        <f>'Projeção Biel Ajustada'!H11</f>
        <v>14.08</v>
      </c>
      <c r="M3" s="133">
        <f>'Projeção Biel Ajustada'!I11</f>
        <v>15.36</v>
      </c>
      <c r="N3" s="133">
        <f>'Projeção Biel Ajustada'!J11</f>
        <v>16.64</v>
      </c>
      <c r="O3" s="133">
        <f>'Projeção Biel Ajustada'!K11</f>
        <v>17.92</v>
      </c>
      <c r="P3" s="133">
        <f>'Projeção Biel Ajustada'!L11</f>
        <v>19.2</v>
      </c>
      <c r="Q3" s="133">
        <f>'Projeção Biel Ajustada'!M11</f>
        <v>20.48</v>
      </c>
      <c r="R3" s="133">
        <f>'Projeção Biel Ajustada'!N11</f>
        <v>21.12</v>
      </c>
      <c r="S3" s="133">
        <f>'Projeção Biel Ajustada'!O11</f>
        <v>19.2</v>
      </c>
      <c r="T3" s="133">
        <f>'Projeção Biel Ajustada'!P11</f>
        <v>19.2</v>
      </c>
    </row>
    <row r="4" ht="15.75" customHeight="1">
      <c r="A4" s="104" t="s">
        <v>238</v>
      </c>
      <c r="B4" s="164"/>
      <c r="C4" s="164"/>
      <c r="D4" s="164"/>
      <c r="E4" s="82"/>
      <c r="H4" s="227">
        <f>'Projeção Biel Ajustada'!E10</f>
        <v>0.32</v>
      </c>
      <c r="I4" s="387">
        <v>9000.0</v>
      </c>
      <c r="J4" s="387">
        <v>9000.0</v>
      </c>
      <c r="K4" s="387">
        <v>9000.0</v>
      </c>
      <c r="L4" s="387">
        <v>9000.0</v>
      </c>
      <c r="M4" s="387">
        <v>9000.0</v>
      </c>
      <c r="N4" s="387">
        <v>9000.0</v>
      </c>
      <c r="O4" s="387">
        <v>9000.0</v>
      </c>
      <c r="P4" s="387">
        <v>9000.0</v>
      </c>
      <c r="Q4" s="387">
        <v>9000.0</v>
      </c>
      <c r="R4" s="387">
        <v>9000.0</v>
      </c>
      <c r="S4" s="387">
        <v>9000.0</v>
      </c>
      <c r="T4" s="387">
        <v>9000.0</v>
      </c>
    </row>
    <row r="5" ht="15.75" customHeight="1">
      <c r="A5" s="104" t="s">
        <v>261</v>
      </c>
      <c r="B5" s="80"/>
      <c r="C5" s="80"/>
      <c r="D5" s="80"/>
      <c r="E5" s="98"/>
      <c r="F5" s="80"/>
      <c r="G5" s="80"/>
      <c r="H5" s="211">
        <v>1.0</v>
      </c>
      <c r="I5" s="133">
        <f>I3</f>
        <v>8</v>
      </c>
      <c r="J5" s="133">
        <f t="shared" ref="J5:T5" si="1">J3+I5</f>
        <v>17.6</v>
      </c>
      <c r="K5" s="133">
        <f t="shared" si="1"/>
        <v>30.4</v>
      </c>
      <c r="L5" s="133">
        <f t="shared" si="1"/>
        <v>44.48</v>
      </c>
      <c r="M5" s="133">
        <f t="shared" si="1"/>
        <v>59.84</v>
      </c>
      <c r="N5" s="133">
        <f t="shared" si="1"/>
        <v>76.48</v>
      </c>
      <c r="O5" s="133">
        <f t="shared" si="1"/>
        <v>94.4</v>
      </c>
      <c r="P5" s="133">
        <f t="shared" si="1"/>
        <v>113.6</v>
      </c>
      <c r="Q5" s="133">
        <f t="shared" si="1"/>
        <v>134.08</v>
      </c>
      <c r="R5" s="133">
        <f t="shared" si="1"/>
        <v>155.2</v>
      </c>
      <c r="S5" s="133">
        <f t="shared" si="1"/>
        <v>174.4</v>
      </c>
      <c r="T5" s="133">
        <f t="shared" si="1"/>
        <v>193.6</v>
      </c>
    </row>
    <row r="6" ht="15.75" customHeight="1">
      <c r="A6" s="388" t="s">
        <v>347</v>
      </c>
      <c r="B6" s="80"/>
      <c r="C6" s="80"/>
      <c r="D6" s="80"/>
      <c r="E6" s="98"/>
      <c r="F6" s="80"/>
      <c r="G6" s="80"/>
      <c r="H6" s="80"/>
      <c r="I6" s="133">
        <f t="shared" ref="I6:T6" si="2">I4*I3/$B$15</f>
        <v>9.715662651</v>
      </c>
      <c r="J6" s="133">
        <f t="shared" si="2"/>
        <v>11.65879518</v>
      </c>
      <c r="K6" s="133">
        <f t="shared" si="2"/>
        <v>15.54506024</v>
      </c>
      <c r="L6" s="133">
        <f t="shared" si="2"/>
        <v>17.09956627</v>
      </c>
      <c r="M6" s="133">
        <f t="shared" si="2"/>
        <v>18.65407229</v>
      </c>
      <c r="N6" s="133">
        <f t="shared" si="2"/>
        <v>20.20857831</v>
      </c>
      <c r="O6" s="133">
        <f t="shared" si="2"/>
        <v>21.76308434</v>
      </c>
      <c r="P6" s="133">
        <f t="shared" si="2"/>
        <v>23.31759036</v>
      </c>
      <c r="Q6" s="133">
        <f t="shared" si="2"/>
        <v>24.87209639</v>
      </c>
      <c r="R6" s="133">
        <f t="shared" si="2"/>
        <v>25.6493494</v>
      </c>
      <c r="S6" s="133">
        <f t="shared" si="2"/>
        <v>23.31759036</v>
      </c>
      <c r="T6" s="133">
        <f t="shared" si="2"/>
        <v>23.31759036</v>
      </c>
    </row>
    <row r="7" ht="15.75" customHeight="1">
      <c r="A7" s="388" t="s">
        <v>348</v>
      </c>
      <c r="B7" s="80"/>
      <c r="C7" s="80"/>
      <c r="D7" s="80"/>
      <c r="E7" s="98"/>
      <c r="F7" s="80"/>
      <c r="G7" s="80"/>
      <c r="H7" s="80"/>
      <c r="I7" s="133">
        <f>I6</f>
        <v>9.715662651</v>
      </c>
      <c r="J7" s="133">
        <f t="shared" ref="J7:T7" si="3">I7+J6</f>
        <v>21.37445783</v>
      </c>
      <c r="K7" s="133">
        <f t="shared" si="3"/>
        <v>36.91951807</v>
      </c>
      <c r="L7" s="133">
        <f t="shared" si="3"/>
        <v>54.01908434</v>
      </c>
      <c r="M7" s="133">
        <f t="shared" si="3"/>
        <v>72.67315663</v>
      </c>
      <c r="N7" s="133">
        <f t="shared" si="3"/>
        <v>92.88173494</v>
      </c>
      <c r="O7" s="133">
        <f t="shared" si="3"/>
        <v>114.6448193</v>
      </c>
      <c r="P7" s="133">
        <f t="shared" si="3"/>
        <v>137.9624096</v>
      </c>
      <c r="Q7" s="133">
        <f t="shared" si="3"/>
        <v>162.834506</v>
      </c>
      <c r="R7" s="133">
        <f t="shared" si="3"/>
        <v>188.4838554</v>
      </c>
      <c r="S7" s="133">
        <f t="shared" si="3"/>
        <v>211.8014458</v>
      </c>
      <c r="T7" s="133">
        <f t="shared" si="3"/>
        <v>235.1190361</v>
      </c>
    </row>
    <row r="8" ht="15.75" customHeight="1">
      <c r="A8" s="389" t="s">
        <v>283</v>
      </c>
      <c r="B8" s="390" t="s">
        <v>349</v>
      </c>
      <c r="C8" s="390" t="s">
        <v>350</v>
      </c>
      <c r="D8" s="390" t="s">
        <v>351</v>
      </c>
      <c r="E8" s="391" t="s">
        <v>352</v>
      </c>
      <c r="F8" s="390" t="s">
        <v>353</v>
      </c>
      <c r="G8" s="390" t="s">
        <v>354</v>
      </c>
      <c r="H8" s="390" t="s">
        <v>355</v>
      </c>
      <c r="I8" s="281"/>
      <c r="J8" s="281"/>
      <c r="K8" s="281"/>
      <c r="L8" s="281"/>
      <c r="M8" s="281"/>
      <c r="N8" s="281"/>
      <c r="O8" s="281"/>
      <c r="P8" s="281"/>
      <c r="Q8" s="281"/>
      <c r="R8" s="281"/>
      <c r="S8" s="281"/>
      <c r="T8" s="281"/>
    </row>
    <row r="9" ht="15.75" customHeight="1">
      <c r="A9" s="377" t="s">
        <v>356</v>
      </c>
      <c r="B9" s="392">
        <v>9000.0</v>
      </c>
      <c r="C9" s="199">
        <f>27/56</f>
        <v>0.4821428571</v>
      </c>
      <c r="D9" s="190">
        <v>3.0</v>
      </c>
      <c r="E9" s="190">
        <v>6.0</v>
      </c>
      <c r="F9" s="190">
        <v>2.0</v>
      </c>
      <c r="G9" s="190">
        <v>1.0</v>
      </c>
      <c r="H9" s="392">
        <f t="shared" ref="H9:H14" si="5">B9/SUM(D9:G9)</f>
        <v>750</v>
      </c>
      <c r="I9" s="393">
        <f t="shared" ref="I9:T9" si="4">$C9*I$6</f>
        <v>4.684337349</v>
      </c>
      <c r="J9" s="393">
        <f t="shared" si="4"/>
        <v>5.621204819</v>
      </c>
      <c r="K9" s="393">
        <f t="shared" si="4"/>
        <v>7.494939759</v>
      </c>
      <c r="L9" s="393">
        <f t="shared" si="4"/>
        <v>8.244433735</v>
      </c>
      <c r="M9" s="393">
        <f t="shared" si="4"/>
        <v>8.993927711</v>
      </c>
      <c r="N9" s="393">
        <f t="shared" si="4"/>
        <v>9.743421687</v>
      </c>
      <c r="O9" s="393">
        <f t="shared" si="4"/>
        <v>10.49291566</v>
      </c>
      <c r="P9" s="393">
        <f t="shared" si="4"/>
        <v>11.24240964</v>
      </c>
      <c r="Q9" s="393">
        <f t="shared" si="4"/>
        <v>11.99190361</v>
      </c>
      <c r="R9" s="393">
        <f t="shared" si="4"/>
        <v>12.3666506</v>
      </c>
      <c r="S9" s="393">
        <f t="shared" si="4"/>
        <v>11.24240964</v>
      </c>
      <c r="T9" s="393">
        <f t="shared" si="4"/>
        <v>11.24240964</v>
      </c>
    </row>
    <row r="10" ht="15.75" customHeight="1">
      <c r="A10" s="377" t="s">
        <v>357</v>
      </c>
      <c r="B10" s="392">
        <v>7000.0</v>
      </c>
      <c r="C10" s="199">
        <f>15/56</f>
        <v>0.2678571429</v>
      </c>
      <c r="D10" s="190">
        <v>3.0</v>
      </c>
      <c r="E10" s="190">
        <v>1.0</v>
      </c>
      <c r="F10" s="190">
        <v>5.0</v>
      </c>
      <c r="G10" s="190">
        <v>2.0</v>
      </c>
      <c r="H10" s="392">
        <f t="shared" si="5"/>
        <v>636.3636364</v>
      </c>
      <c r="I10" s="393">
        <f t="shared" ref="I10:T10" si="6">$C10*I$6</f>
        <v>2.602409639</v>
      </c>
      <c r="J10" s="393">
        <f t="shared" si="6"/>
        <v>3.122891566</v>
      </c>
      <c r="K10" s="393">
        <f t="shared" si="6"/>
        <v>4.163855422</v>
      </c>
      <c r="L10" s="393">
        <f t="shared" si="6"/>
        <v>4.580240964</v>
      </c>
      <c r="M10" s="393">
        <f t="shared" si="6"/>
        <v>4.996626506</v>
      </c>
      <c r="N10" s="393">
        <f t="shared" si="6"/>
        <v>5.413012048</v>
      </c>
      <c r="O10" s="393">
        <f t="shared" si="6"/>
        <v>5.82939759</v>
      </c>
      <c r="P10" s="393">
        <f t="shared" si="6"/>
        <v>6.245783133</v>
      </c>
      <c r="Q10" s="393">
        <f t="shared" si="6"/>
        <v>6.662168675</v>
      </c>
      <c r="R10" s="393">
        <f t="shared" si="6"/>
        <v>6.870361446</v>
      </c>
      <c r="S10" s="393">
        <f t="shared" si="6"/>
        <v>6.245783133</v>
      </c>
      <c r="T10" s="393">
        <f t="shared" si="6"/>
        <v>6.245783133</v>
      </c>
    </row>
    <row r="11" ht="15.75" customHeight="1">
      <c r="A11" s="196" t="s">
        <v>358</v>
      </c>
      <c r="B11" s="392">
        <v>2500.0</v>
      </c>
      <c r="C11" s="199">
        <f t="shared" ref="C11:C12" si="8">4/56</f>
        <v>0.07142857143</v>
      </c>
      <c r="D11" s="190">
        <v>3.0</v>
      </c>
      <c r="E11" s="190">
        <v>1.0</v>
      </c>
      <c r="F11" s="190">
        <v>1.0</v>
      </c>
      <c r="G11" s="190">
        <v>1.0</v>
      </c>
      <c r="H11" s="392">
        <f t="shared" si="5"/>
        <v>416.6666667</v>
      </c>
      <c r="I11" s="393">
        <f t="shared" ref="I11:T11" si="7">$C11*I$6</f>
        <v>0.6939759036</v>
      </c>
      <c r="J11" s="393">
        <f t="shared" si="7"/>
        <v>0.8327710843</v>
      </c>
      <c r="K11" s="393">
        <f t="shared" si="7"/>
        <v>1.110361446</v>
      </c>
      <c r="L11" s="393">
        <f t="shared" si="7"/>
        <v>1.22139759</v>
      </c>
      <c r="M11" s="393">
        <f t="shared" si="7"/>
        <v>1.332433735</v>
      </c>
      <c r="N11" s="393">
        <f t="shared" si="7"/>
        <v>1.44346988</v>
      </c>
      <c r="O11" s="393">
        <f t="shared" si="7"/>
        <v>1.554506024</v>
      </c>
      <c r="P11" s="393">
        <f t="shared" si="7"/>
        <v>1.665542169</v>
      </c>
      <c r="Q11" s="393">
        <f t="shared" si="7"/>
        <v>1.776578313</v>
      </c>
      <c r="R11" s="393">
        <f t="shared" si="7"/>
        <v>1.832096386</v>
      </c>
      <c r="S11" s="393">
        <f t="shared" si="7"/>
        <v>1.665542169</v>
      </c>
      <c r="T11" s="393">
        <f t="shared" si="7"/>
        <v>1.665542169</v>
      </c>
    </row>
    <row r="12" ht="15.75" customHeight="1">
      <c r="A12" s="377" t="s">
        <v>359</v>
      </c>
      <c r="B12" s="392">
        <v>5000.0</v>
      </c>
      <c r="C12" s="199">
        <f t="shared" si="8"/>
        <v>0.07142857143</v>
      </c>
      <c r="D12" s="190">
        <v>3.0</v>
      </c>
      <c r="E12" s="190">
        <v>1.0</v>
      </c>
      <c r="F12" s="190">
        <v>5.0</v>
      </c>
      <c r="G12" s="190">
        <v>2.0</v>
      </c>
      <c r="H12" s="392">
        <f t="shared" si="5"/>
        <v>454.5454545</v>
      </c>
      <c r="I12" s="393">
        <f t="shared" ref="I12:T12" si="9">$C12*I$6</f>
        <v>0.6939759036</v>
      </c>
      <c r="J12" s="393">
        <f t="shared" si="9"/>
        <v>0.8327710843</v>
      </c>
      <c r="K12" s="393">
        <f t="shared" si="9"/>
        <v>1.110361446</v>
      </c>
      <c r="L12" s="393">
        <f t="shared" si="9"/>
        <v>1.22139759</v>
      </c>
      <c r="M12" s="393">
        <f t="shared" si="9"/>
        <v>1.332433735</v>
      </c>
      <c r="N12" s="393">
        <f t="shared" si="9"/>
        <v>1.44346988</v>
      </c>
      <c r="O12" s="393">
        <f t="shared" si="9"/>
        <v>1.554506024</v>
      </c>
      <c r="P12" s="393">
        <f t="shared" si="9"/>
        <v>1.665542169</v>
      </c>
      <c r="Q12" s="393">
        <f t="shared" si="9"/>
        <v>1.776578313</v>
      </c>
      <c r="R12" s="393">
        <f t="shared" si="9"/>
        <v>1.832096386</v>
      </c>
      <c r="S12" s="393">
        <f t="shared" si="9"/>
        <v>1.665542169</v>
      </c>
      <c r="T12" s="393">
        <f t="shared" si="9"/>
        <v>1.665542169</v>
      </c>
    </row>
    <row r="13" ht="15.75" customHeight="1">
      <c r="A13" s="196" t="s">
        <v>360</v>
      </c>
      <c r="B13" s="392">
        <v>5000.0</v>
      </c>
      <c r="C13" s="199">
        <f>5/56</f>
        <v>0.08928571429</v>
      </c>
      <c r="D13" s="190">
        <v>3.0</v>
      </c>
      <c r="E13" s="190">
        <v>2.0</v>
      </c>
      <c r="F13" s="190">
        <v>15.0</v>
      </c>
      <c r="G13" s="190">
        <v>2.0</v>
      </c>
      <c r="H13" s="392">
        <f t="shared" si="5"/>
        <v>227.2727273</v>
      </c>
      <c r="I13" s="393">
        <f t="shared" ref="I13:T13" si="10">$C13*I$6</f>
        <v>0.8674698795</v>
      </c>
      <c r="J13" s="393">
        <f t="shared" si="10"/>
        <v>1.040963855</v>
      </c>
      <c r="K13" s="393">
        <f t="shared" si="10"/>
        <v>1.387951807</v>
      </c>
      <c r="L13" s="393">
        <f t="shared" si="10"/>
        <v>1.526746988</v>
      </c>
      <c r="M13" s="393">
        <f t="shared" si="10"/>
        <v>1.665542169</v>
      </c>
      <c r="N13" s="393">
        <f t="shared" si="10"/>
        <v>1.804337349</v>
      </c>
      <c r="O13" s="393">
        <f t="shared" si="10"/>
        <v>1.94313253</v>
      </c>
      <c r="P13" s="393">
        <f t="shared" si="10"/>
        <v>2.081927711</v>
      </c>
      <c r="Q13" s="393">
        <f t="shared" si="10"/>
        <v>2.220722892</v>
      </c>
      <c r="R13" s="393">
        <f t="shared" si="10"/>
        <v>2.290120482</v>
      </c>
      <c r="S13" s="393">
        <f t="shared" si="10"/>
        <v>2.081927711</v>
      </c>
      <c r="T13" s="393">
        <f t="shared" si="10"/>
        <v>2.081927711</v>
      </c>
    </row>
    <row r="14" ht="15.75" customHeight="1">
      <c r="A14" s="196" t="s">
        <v>361</v>
      </c>
      <c r="B14" s="392">
        <v>12000.0</v>
      </c>
      <c r="C14" s="199">
        <f>1/56</f>
        <v>0.01785714286</v>
      </c>
      <c r="D14" s="190">
        <v>3.0</v>
      </c>
      <c r="E14" s="190">
        <v>8.0</v>
      </c>
      <c r="F14" s="190">
        <v>15.0</v>
      </c>
      <c r="G14" s="190">
        <v>2.0</v>
      </c>
      <c r="H14" s="392">
        <f t="shared" si="5"/>
        <v>428.5714286</v>
      </c>
      <c r="I14" s="393">
        <f t="shared" ref="I14:T14" si="11">$C14*I$6</f>
        <v>0.1734939759</v>
      </c>
      <c r="J14" s="393">
        <f t="shared" si="11"/>
        <v>0.2081927711</v>
      </c>
      <c r="K14" s="393">
        <f t="shared" si="11"/>
        <v>0.2775903614</v>
      </c>
      <c r="L14" s="393">
        <f t="shared" si="11"/>
        <v>0.3053493976</v>
      </c>
      <c r="M14" s="393">
        <f t="shared" si="11"/>
        <v>0.3331084337</v>
      </c>
      <c r="N14" s="393">
        <f t="shared" si="11"/>
        <v>0.3608674699</v>
      </c>
      <c r="O14" s="393">
        <f t="shared" si="11"/>
        <v>0.388626506</v>
      </c>
      <c r="P14" s="393">
        <f t="shared" si="11"/>
        <v>0.4163855422</v>
      </c>
      <c r="Q14" s="393">
        <f t="shared" si="11"/>
        <v>0.4441445783</v>
      </c>
      <c r="R14" s="393">
        <f t="shared" si="11"/>
        <v>0.4580240964</v>
      </c>
      <c r="S14" s="393">
        <f t="shared" si="11"/>
        <v>0.4163855422</v>
      </c>
      <c r="T14" s="393">
        <f t="shared" si="11"/>
        <v>0.4163855422</v>
      </c>
    </row>
    <row r="15" ht="15.75" customHeight="1">
      <c r="A15" s="297"/>
      <c r="B15" s="242">
        <f>SUMPRODUCT(B9:B14,C9:C14)</f>
        <v>7410.714286</v>
      </c>
      <c r="C15" s="394">
        <f>SUM(C9:C14)</f>
        <v>1</v>
      </c>
      <c r="D15" s="242"/>
      <c r="E15" s="242"/>
      <c r="F15" s="297"/>
      <c r="G15" s="297"/>
      <c r="H15" s="298"/>
      <c r="I15" s="298"/>
      <c r="J15" s="298"/>
      <c r="K15" s="298"/>
      <c r="L15" s="298"/>
      <c r="M15" s="298"/>
      <c r="N15" s="298"/>
      <c r="O15" s="298"/>
      <c r="P15" s="298"/>
      <c r="Q15" s="298"/>
      <c r="R15" s="298"/>
      <c r="S15" s="298"/>
      <c r="T15" s="298"/>
    </row>
    <row r="16" ht="19.5" customHeight="1">
      <c r="A16" s="389" t="s">
        <v>283</v>
      </c>
      <c r="B16" s="390" t="s">
        <v>349</v>
      </c>
      <c r="C16" s="390" t="s">
        <v>350</v>
      </c>
      <c r="D16" s="390" t="s">
        <v>351</v>
      </c>
      <c r="E16" s="391" t="s">
        <v>362</v>
      </c>
      <c r="F16" s="390" t="s">
        <v>363</v>
      </c>
      <c r="G16" s="390" t="s">
        <v>354</v>
      </c>
      <c r="H16" s="390" t="s">
        <v>364</v>
      </c>
      <c r="I16" s="281"/>
      <c r="J16" s="281"/>
      <c r="K16" s="281"/>
      <c r="L16" s="281"/>
      <c r="M16" s="281"/>
      <c r="N16" s="281"/>
      <c r="O16" s="281"/>
      <c r="P16" s="281"/>
      <c r="Q16" s="281"/>
      <c r="R16" s="281"/>
      <c r="S16" s="281"/>
      <c r="T16" s="281"/>
    </row>
    <row r="17" ht="15.75" customHeight="1">
      <c r="A17" s="377" t="s">
        <v>365</v>
      </c>
      <c r="B17" s="392">
        <v>9000.0</v>
      </c>
      <c r="C17" s="199">
        <f>27/56</f>
        <v>0.4821428571</v>
      </c>
      <c r="D17" s="190">
        <v>3.0</v>
      </c>
      <c r="E17" s="395">
        <f>20/E9*4</f>
        <v>13.33333333</v>
      </c>
      <c r="F17" s="396">
        <f t="shared" ref="F17:G17" si="12">20/F9</f>
        <v>10</v>
      </c>
      <c r="G17" s="395">
        <f t="shared" si="12"/>
        <v>20</v>
      </c>
      <c r="H17" s="190"/>
      <c r="I17" s="393">
        <f t="shared" ref="I17:T17" si="13">$C17*I$6</f>
        <v>4.684337349</v>
      </c>
      <c r="J17" s="393">
        <f t="shared" si="13"/>
        <v>5.621204819</v>
      </c>
      <c r="K17" s="393">
        <f t="shared" si="13"/>
        <v>7.494939759</v>
      </c>
      <c r="L17" s="393">
        <f t="shared" si="13"/>
        <v>8.244433735</v>
      </c>
      <c r="M17" s="393">
        <f t="shared" si="13"/>
        <v>8.993927711</v>
      </c>
      <c r="N17" s="393">
        <f t="shared" si="13"/>
        <v>9.743421687</v>
      </c>
      <c r="O17" s="393">
        <f t="shared" si="13"/>
        <v>10.49291566</v>
      </c>
      <c r="P17" s="393">
        <f t="shared" si="13"/>
        <v>11.24240964</v>
      </c>
      <c r="Q17" s="393">
        <f t="shared" si="13"/>
        <v>11.99190361</v>
      </c>
      <c r="R17" s="393">
        <f t="shared" si="13"/>
        <v>12.3666506</v>
      </c>
      <c r="S17" s="393">
        <f t="shared" si="13"/>
        <v>11.24240964</v>
      </c>
      <c r="T17" s="393">
        <f t="shared" si="13"/>
        <v>11.24240964</v>
      </c>
    </row>
    <row r="18" ht="15.75" customHeight="1">
      <c r="A18" s="377" t="s">
        <v>357</v>
      </c>
      <c r="B18" s="392">
        <v>7000.0</v>
      </c>
      <c r="C18" s="199">
        <f>15/56</f>
        <v>0.2678571429</v>
      </c>
      <c r="D18" s="190">
        <v>3.0</v>
      </c>
      <c r="E18" s="190">
        <f t="shared" ref="E18:G18" si="14">20/E10</f>
        <v>20</v>
      </c>
      <c r="F18" s="397">
        <f t="shared" si="14"/>
        <v>4</v>
      </c>
      <c r="G18" s="395">
        <f t="shared" si="14"/>
        <v>10</v>
      </c>
      <c r="H18" s="190"/>
      <c r="I18" s="393">
        <f t="shared" ref="I18:T18" si="15">$C18*I$6</f>
        <v>2.602409639</v>
      </c>
      <c r="J18" s="393">
        <f t="shared" si="15"/>
        <v>3.122891566</v>
      </c>
      <c r="K18" s="393">
        <f t="shared" si="15"/>
        <v>4.163855422</v>
      </c>
      <c r="L18" s="393">
        <f t="shared" si="15"/>
        <v>4.580240964</v>
      </c>
      <c r="M18" s="393">
        <f t="shared" si="15"/>
        <v>4.996626506</v>
      </c>
      <c r="N18" s="393">
        <f t="shared" si="15"/>
        <v>5.413012048</v>
      </c>
      <c r="O18" s="393">
        <f t="shared" si="15"/>
        <v>5.82939759</v>
      </c>
      <c r="P18" s="393">
        <f t="shared" si="15"/>
        <v>6.245783133</v>
      </c>
      <c r="Q18" s="393">
        <f t="shared" si="15"/>
        <v>6.662168675</v>
      </c>
      <c r="R18" s="393">
        <f t="shared" si="15"/>
        <v>6.870361446</v>
      </c>
      <c r="S18" s="393">
        <f t="shared" si="15"/>
        <v>6.245783133</v>
      </c>
      <c r="T18" s="393">
        <f t="shared" si="15"/>
        <v>6.245783133</v>
      </c>
    </row>
    <row r="19" ht="15.75" customHeight="1">
      <c r="A19" s="196" t="s">
        <v>358</v>
      </c>
      <c r="B19" s="392">
        <v>2500.0</v>
      </c>
      <c r="C19" s="199">
        <f t="shared" ref="C19:C20" si="18">4/56</f>
        <v>0.07142857143</v>
      </c>
      <c r="D19" s="190">
        <v>3.0</v>
      </c>
      <c r="E19" s="190">
        <f t="shared" ref="E19:G19" si="16">20/E11</f>
        <v>20</v>
      </c>
      <c r="F19" s="395">
        <f t="shared" si="16"/>
        <v>20</v>
      </c>
      <c r="G19" s="395">
        <f t="shared" si="16"/>
        <v>20</v>
      </c>
      <c r="H19" s="190"/>
      <c r="I19" s="393">
        <f t="shared" ref="I19:T19" si="17">$C19*I$6</f>
        <v>0.6939759036</v>
      </c>
      <c r="J19" s="393">
        <f t="shared" si="17"/>
        <v>0.8327710843</v>
      </c>
      <c r="K19" s="393">
        <f t="shared" si="17"/>
        <v>1.110361446</v>
      </c>
      <c r="L19" s="393">
        <f t="shared" si="17"/>
        <v>1.22139759</v>
      </c>
      <c r="M19" s="393">
        <f t="shared" si="17"/>
        <v>1.332433735</v>
      </c>
      <c r="N19" s="393">
        <f t="shared" si="17"/>
        <v>1.44346988</v>
      </c>
      <c r="O19" s="393">
        <f t="shared" si="17"/>
        <v>1.554506024</v>
      </c>
      <c r="P19" s="393">
        <f t="shared" si="17"/>
        <v>1.665542169</v>
      </c>
      <c r="Q19" s="393">
        <f t="shared" si="17"/>
        <v>1.776578313</v>
      </c>
      <c r="R19" s="393">
        <f t="shared" si="17"/>
        <v>1.832096386</v>
      </c>
      <c r="S19" s="393">
        <f t="shared" si="17"/>
        <v>1.665542169</v>
      </c>
      <c r="T19" s="393">
        <f t="shared" si="17"/>
        <v>1.665542169</v>
      </c>
    </row>
    <row r="20" ht="15.75" customHeight="1">
      <c r="A20" s="377" t="s">
        <v>359</v>
      </c>
      <c r="B20" s="392">
        <v>5000.0</v>
      </c>
      <c r="C20" s="199">
        <f t="shared" si="18"/>
        <v>0.07142857143</v>
      </c>
      <c r="D20" s="190">
        <v>3.0</v>
      </c>
      <c r="E20" s="190">
        <f t="shared" ref="E20:G20" si="19">20/E12</f>
        <v>20</v>
      </c>
      <c r="F20" s="395">
        <f t="shared" si="19"/>
        <v>4</v>
      </c>
      <c r="G20" s="395">
        <f t="shared" si="19"/>
        <v>10</v>
      </c>
      <c r="H20" s="190">
        <v>40.0</v>
      </c>
      <c r="I20" s="393">
        <f t="shared" ref="I20:T20" si="20">$C20*I$6</f>
        <v>0.6939759036</v>
      </c>
      <c r="J20" s="393">
        <f t="shared" si="20"/>
        <v>0.8327710843</v>
      </c>
      <c r="K20" s="393">
        <f t="shared" si="20"/>
        <v>1.110361446</v>
      </c>
      <c r="L20" s="393">
        <f t="shared" si="20"/>
        <v>1.22139759</v>
      </c>
      <c r="M20" s="393">
        <f t="shared" si="20"/>
        <v>1.332433735</v>
      </c>
      <c r="N20" s="393">
        <f t="shared" si="20"/>
        <v>1.44346988</v>
      </c>
      <c r="O20" s="393">
        <f t="shared" si="20"/>
        <v>1.554506024</v>
      </c>
      <c r="P20" s="393">
        <f t="shared" si="20"/>
        <v>1.665542169</v>
      </c>
      <c r="Q20" s="393">
        <f t="shared" si="20"/>
        <v>1.776578313</v>
      </c>
      <c r="R20" s="393">
        <f t="shared" si="20"/>
        <v>1.832096386</v>
      </c>
      <c r="S20" s="393">
        <f t="shared" si="20"/>
        <v>1.665542169</v>
      </c>
      <c r="T20" s="393">
        <f t="shared" si="20"/>
        <v>1.665542169</v>
      </c>
    </row>
    <row r="21" ht="15.75" customHeight="1">
      <c r="A21" s="196" t="s">
        <v>366</v>
      </c>
      <c r="B21" s="392">
        <v>5000.0</v>
      </c>
      <c r="C21" s="199">
        <f>5/56</f>
        <v>0.08928571429</v>
      </c>
      <c r="D21" s="190">
        <v>3.0</v>
      </c>
      <c r="E21" s="190">
        <f t="shared" ref="E21:G21" si="21">20/E13</f>
        <v>10</v>
      </c>
      <c r="F21" s="395">
        <f t="shared" si="21"/>
        <v>1.333333333</v>
      </c>
      <c r="G21" s="395">
        <f t="shared" si="21"/>
        <v>10</v>
      </c>
      <c r="H21" s="190"/>
      <c r="I21" s="393">
        <f t="shared" ref="I21:T21" si="22">$C21*I$6</f>
        <v>0.8674698795</v>
      </c>
      <c r="J21" s="393">
        <f t="shared" si="22"/>
        <v>1.040963855</v>
      </c>
      <c r="K21" s="393">
        <f t="shared" si="22"/>
        <v>1.387951807</v>
      </c>
      <c r="L21" s="393">
        <f t="shared" si="22"/>
        <v>1.526746988</v>
      </c>
      <c r="M21" s="393">
        <f t="shared" si="22"/>
        <v>1.665542169</v>
      </c>
      <c r="N21" s="393">
        <f t="shared" si="22"/>
        <v>1.804337349</v>
      </c>
      <c r="O21" s="393">
        <f t="shared" si="22"/>
        <v>1.94313253</v>
      </c>
      <c r="P21" s="393">
        <f t="shared" si="22"/>
        <v>2.081927711</v>
      </c>
      <c r="Q21" s="393">
        <f t="shared" si="22"/>
        <v>2.220722892</v>
      </c>
      <c r="R21" s="393">
        <f t="shared" si="22"/>
        <v>2.290120482</v>
      </c>
      <c r="S21" s="393">
        <f t="shared" si="22"/>
        <v>2.081927711</v>
      </c>
      <c r="T21" s="393">
        <f t="shared" si="22"/>
        <v>2.081927711</v>
      </c>
    </row>
    <row r="22" ht="15.75" customHeight="1">
      <c r="A22" s="196" t="s">
        <v>361</v>
      </c>
      <c r="B22" s="392">
        <v>12000.0</v>
      </c>
      <c r="C22" s="199">
        <f>1/56</f>
        <v>0.01785714286</v>
      </c>
      <c r="D22" s="190">
        <v>3.0</v>
      </c>
      <c r="E22" s="190">
        <f t="shared" ref="E22:G22" si="23">20/E14</f>
        <v>2.5</v>
      </c>
      <c r="F22" s="395">
        <f t="shared" si="23"/>
        <v>1.333333333</v>
      </c>
      <c r="G22" s="395">
        <f t="shared" si="23"/>
        <v>10</v>
      </c>
      <c r="H22" s="190"/>
      <c r="I22" s="393">
        <f t="shared" ref="I22:T22" si="24">$C22*I$6</f>
        <v>0.1734939759</v>
      </c>
      <c r="J22" s="393">
        <f t="shared" si="24"/>
        <v>0.2081927711</v>
      </c>
      <c r="K22" s="393">
        <f t="shared" si="24"/>
        <v>0.2775903614</v>
      </c>
      <c r="L22" s="393">
        <f t="shared" si="24"/>
        <v>0.3053493976</v>
      </c>
      <c r="M22" s="393">
        <f t="shared" si="24"/>
        <v>0.3331084337</v>
      </c>
      <c r="N22" s="393">
        <f t="shared" si="24"/>
        <v>0.3608674699</v>
      </c>
      <c r="O22" s="393">
        <f t="shared" si="24"/>
        <v>0.388626506</v>
      </c>
      <c r="P22" s="393">
        <f t="shared" si="24"/>
        <v>0.4163855422</v>
      </c>
      <c r="Q22" s="393">
        <f t="shared" si="24"/>
        <v>0.4441445783</v>
      </c>
      <c r="R22" s="393">
        <f t="shared" si="24"/>
        <v>0.4580240964</v>
      </c>
      <c r="S22" s="393">
        <f t="shared" si="24"/>
        <v>0.4163855422</v>
      </c>
      <c r="T22" s="393">
        <f t="shared" si="24"/>
        <v>0.4163855422</v>
      </c>
    </row>
    <row r="23" ht="15.75" customHeight="1"/>
    <row r="24" ht="15.75" customHeight="1">
      <c r="A24" s="196" t="s">
        <v>367</v>
      </c>
      <c r="B24" s="196" t="s">
        <v>368</v>
      </c>
      <c r="C24" s="194" t="s">
        <v>369</v>
      </c>
    </row>
    <row r="25" ht="15.75" customHeight="1">
      <c r="A25" s="196" t="s">
        <v>370</v>
      </c>
      <c r="B25" s="375">
        <v>1000.0</v>
      </c>
      <c r="C25" s="65">
        <f t="shared" ref="C25:C28" si="25">B25/12</f>
        <v>83.33333333</v>
      </c>
    </row>
    <row r="26" ht="15.75" customHeight="1">
      <c r="A26" s="196" t="s">
        <v>371</v>
      </c>
      <c r="B26" s="375">
        <v>12000.0</v>
      </c>
      <c r="C26" s="65">
        <f t="shared" si="25"/>
        <v>1000</v>
      </c>
    </row>
    <row r="27" ht="15.75" customHeight="1">
      <c r="A27" s="196" t="s">
        <v>372</v>
      </c>
      <c r="B27" s="65">
        <f>(100*5+500+350+300+50+45+100*5*12)/5</f>
        <v>1549</v>
      </c>
      <c r="C27" s="65">
        <f t="shared" si="25"/>
        <v>129.0833333</v>
      </c>
    </row>
    <row r="28" ht="15.75" customHeight="1">
      <c r="A28" s="196" t="s">
        <v>373</v>
      </c>
      <c r="B28" s="65">
        <f>SUM(B25:B27)</f>
        <v>14549</v>
      </c>
      <c r="C28" s="65">
        <f t="shared" si="25"/>
        <v>1212.416667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</sheetData>
  <conditionalFormatting sqref="H9:H14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31.0"/>
    <col customWidth="1" min="2" max="2" width="18.33"/>
    <col customWidth="1" min="3" max="3" width="19.44"/>
    <col customWidth="1" min="4" max="4" width="21.67"/>
    <col customWidth="1" min="5" max="5" width="17.11"/>
    <col customWidth="1" min="6" max="6" width="18.0"/>
    <col customWidth="1" min="7" max="9" width="17.11"/>
    <col customWidth="1" min="10" max="16" width="16.33"/>
    <col customWidth="1" min="17" max="19" width="14.44"/>
    <col customWidth="1" min="20" max="20" width="12.33"/>
    <col customWidth="1" min="21" max="26" width="10.56"/>
  </cols>
  <sheetData>
    <row r="1" ht="15.75" customHeight="1">
      <c r="A1" s="203" t="s">
        <v>228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 ht="15.75" customHeight="1">
      <c r="A2" s="163" t="s">
        <v>129</v>
      </c>
      <c r="B2" s="204" t="s">
        <v>40</v>
      </c>
      <c r="C2" s="96" t="s">
        <v>229</v>
      </c>
      <c r="D2" s="205" t="s">
        <v>230</v>
      </c>
      <c r="E2" s="96">
        <v>1.0</v>
      </c>
      <c r="F2" s="96">
        <v>2.0</v>
      </c>
      <c r="G2" s="96">
        <v>3.0</v>
      </c>
      <c r="H2" s="96">
        <v>4.0</v>
      </c>
      <c r="I2" s="96">
        <v>5.0</v>
      </c>
      <c r="J2" s="96">
        <v>6.0</v>
      </c>
      <c r="K2" s="96">
        <v>7.0</v>
      </c>
      <c r="L2" s="96">
        <v>8.0</v>
      </c>
      <c r="M2" s="96">
        <v>9.0</v>
      </c>
      <c r="N2" s="96">
        <v>10.0</v>
      </c>
      <c r="O2" s="96">
        <v>11.0</v>
      </c>
      <c r="P2" s="96">
        <v>12.0</v>
      </c>
    </row>
    <row r="3" ht="15.75" customHeight="1">
      <c r="A3" s="206" t="s">
        <v>231</v>
      </c>
      <c r="B3" s="207">
        <f>SUM(E3:P3)</f>
        <v>2008800</v>
      </c>
      <c r="C3" s="154">
        <f t="shared" ref="C3:C8" si="1">AVERAGE(E3:P3)</f>
        <v>167400</v>
      </c>
      <c r="D3" s="175"/>
      <c r="E3" s="154">
        <f>'Premissas gerais'!O5</f>
        <v>42943.46793</v>
      </c>
      <c r="F3" s="154">
        <f>'Premissas gerais'!P5</f>
        <v>90658.4323</v>
      </c>
      <c r="G3" s="154">
        <f>'Premissas gerais'!Q5</f>
        <v>26243.2304</v>
      </c>
      <c r="H3" s="154">
        <f>'Premissas gerais'!R5</f>
        <v>181316.8646</v>
      </c>
      <c r="I3" s="154">
        <f>'Premissas gerais'!S5</f>
        <v>152687.886</v>
      </c>
      <c r="J3" s="154">
        <f>'Premissas gerais'!T5</f>
        <v>183702.6128</v>
      </c>
      <c r="K3" s="154">
        <f>'Premissas gerais'!U5</f>
        <v>167002.3753</v>
      </c>
      <c r="L3" s="154">
        <f>'Premissas gerais'!V5</f>
        <v>250503.5629</v>
      </c>
      <c r="M3" s="154">
        <f>'Premissas gerais'!W5</f>
        <v>195631.3539</v>
      </c>
      <c r="N3" s="154">
        <f>'Premissas gerais'!X5</f>
        <v>267203.8005</v>
      </c>
      <c r="O3" s="154">
        <f>'Premissas gerais'!Y5</f>
        <v>236189.0736</v>
      </c>
      <c r="P3" s="154">
        <f>'Premissas gerais'!Z5</f>
        <v>214717.3397</v>
      </c>
    </row>
    <row r="4" ht="15.75" customHeight="1">
      <c r="A4" s="110" t="s">
        <v>232</v>
      </c>
      <c r="B4" s="208">
        <v>1.0</v>
      </c>
      <c r="C4" s="147">
        <f t="shared" si="1"/>
        <v>1</v>
      </c>
      <c r="D4" s="209"/>
      <c r="E4" s="109">
        <f t="shared" ref="E4:P4" si="2">E3/$C$3</f>
        <v>0.2565320665</v>
      </c>
      <c r="F4" s="109">
        <f t="shared" si="2"/>
        <v>0.541567696</v>
      </c>
      <c r="G4" s="109">
        <f t="shared" si="2"/>
        <v>0.1567695962</v>
      </c>
      <c r="H4" s="109">
        <f t="shared" si="2"/>
        <v>1.083135392</v>
      </c>
      <c r="I4" s="109">
        <f t="shared" si="2"/>
        <v>0.9121140143</v>
      </c>
      <c r="J4" s="109">
        <f t="shared" si="2"/>
        <v>1.097387173</v>
      </c>
      <c r="K4" s="109">
        <f t="shared" si="2"/>
        <v>0.9976247031</v>
      </c>
      <c r="L4" s="109">
        <f t="shared" si="2"/>
        <v>1.496437055</v>
      </c>
      <c r="M4" s="109">
        <f t="shared" si="2"/>
        <v>1.168646081</v>
      </c>
      <c r="N4" s="109">
        <f t="shared" si="2"/>
        <v>1.596199525</v>
      </c>
      <c r="O4" s="109">
        <f t="shared" si="2"/>
        <v>1.410926366</v>
      </c>
      <c r="P4" s="109">
        <f t="shared" si="2"/>
        <v>1.282660333</v>
      </c>
    </row>
    <row r="5" ht="15.75" customHeight="1">
      <c r="A5" s="104" t="s">
        <v>237</v>
      </c>
      <c r="B5" s="210">
        <f>C5</f>
        <v>2</v>
      </c>
      <c r="C5" s="133">
        <f t="shared" si="1"/>
        <v>2</v>
      </c>
      <c r="D5" s="211">
        <v>2.0</v>
      </c>
      <c r="E5" s="80">
        <f t="shared" ref="E5:J5" si="3">D5</f>
        <v>2</v>
      </c>
      <c r="F5" s="80">
        <f t="shared" si="3"/>
        <v>2</v>
      </c>
      <c r="G5" s="80">
        <f t="shared" si="3"/>
        <v>2</v>
      </c>
      <c r="H5" s="80">
        <f t="shared" si="3"/>
        <v>2</v>
      </c>
      <c r="I5" s="80">
        <f t="shared" si="3"/>
        <v>2</v>
      </c>
      <c r="J5" s="80">
        <f t="shared" si="3"/>
        <v>2</v>
      </c>
      <c r="K5" s="212">
        <v>2.0</v>
      </c>
      <c r="L5" s="80">
        <f t="shared" ref="L5:P5" si="4">K5</f>
        <v>2</v>
      </c>
      <c r="M5" s="80">
        <f t="shared" si="4"/>
        <v>2</v>
      </c>
      <c r="N5" s="80">
        <f t="shared" si="4"/>
        <v>2</v>
      </c>
      <c r="O5" s="80">
        <f t="shared" si="4"/>
        <v>2</v>
      </c>
      <c r="P5" s="80">
        <f t="shared" si="4"/>
        <v>2</v>
      </c>
    </row>
    <row r="6" ht="15.75" customHeight="1">
      <c r="A6" s="388" t="s">
        <v>243</v>
      </c>
      <c r="B6" s="210">
        <f t="shared" ref="B6:B9" si="6">SUM(E6:P6)</f>
        <v>288.5</v>
      </c>
      <c r="C6" s="133">
        <f t="shared" si="1"/>
        <v>24.04166667</v>
      </c>
      <c r="D6" s="220">
        <v>12.5</v>
      </c>
      <c r="E6" s="221">
        <f>D6</f>
        <v>12.5</v>
      </c>
      <c r="F6" s="221">
        <v>15.0</v>
      </c>
      <c r="G6" s="221">
        <v>17.0</v>
      </c>
      <c r="H6" s="221">
        <v>20.0</v>
      </c>
      <c r="I6" s="221">
        <v>22.0</v>
      </c>
      <c r="J6" s="221">
        <v>25.0</v>
      </c>
      <c r="K6" s="221">
        <v>27.0</v>
      </c>
      <c r="L6" s="221">
        <v>30.0</v>
      </c>
      <c r="M6" s="221">
        <f t="shared" ref="M6:P6" si="5">L6</f>
        <v>30</v>
      </c>
      <c r="N6" s="221">
        <f t="shared" si="5"/>
        <v>30</v>
      </c>
      <c r="O6" s="221">
        <f t="shared" si="5"/>
        <v>30</v>
      </c>
      <c r="P6" s="221">
        <f t="shared" si="5"/>
        <v>30</v>
      </c>
    </row>
    <row r="7" ht="15.75" customHeight="1">
      <c r="A7" s="104" t="s">
        <v>245</v>
      </c>
      <c r="B7" s="210">
        <f t="shared" si="6"/>
        <v>577</v>
      </c>
      <c r="C7" s="133">
        <f t="shared" si="1"/>
        <v>48.08333333</v>
      </c>
      <c r="D7" s="137">
        <f>E6*E5</f>
        <v>25</v>
      </c>
      <c r="E7" s="133">
        <f t="shared" ref="E7:P7" si="7">E5*E6</f>
        <v>25</v>
      </c>
      <c r="F7" s="133">
        <f t="shared" si="7"/>
        <v>30</v>
      </c>
      <c r="G7" s="133">
        <f t="shared" si="7"/>
        <v>34</v>
      </c>
      <c r="H7" s="133">
        <f t="shared" si="7"/>
        <v>40</v>
      </c>
      <c r="I7" s="133">
        <f t="shared" si="7"/>
        <v>44</v>
      </c>
      <c r="J7" s="133">
        <f t="shared" si="7"/>
        <v>50</v>
      </c>
      <c r="K7" s="133">
        <f t="shared" si="7"/>
        <v>54</v>
      </c>
      <c r="L7" s="133">
        <f t="shared" si="7"/>
        <v>60</v>
      </c>
      <c r="M7" s="133">
        <f t="shared" si="7"/>
        <v>60</v>
      </c>
      <c r="N7" s="133">
        <f t="shared" si="7"/>
        <v>60</v>
      </c>
      <c r="O7" s="133">
        <f t="shared" si="7"/>
        <v>60</v>
      </c>
      <c r="P7" s="133">
        <f t="shared" si="7"/>
        <v>60</v>
      </c>
    </row>
    <row r="8" ht="15.75" customHeight="1">
      <c r="A8" s="104" t="s">
        <v>247</v>
      </c>
      <c r="B8" s="210">
        <f t="shared" si="6"/>
        <v>3.84</v>
      </c>
      <c r="C8" s="133">
        <f t="shared" si="1"/>
        <v>0.32</v>
      </c>
      <c r="D8" s="398">
        <f>4/12.5</f>
        <v>0.32</v>
      </c>
      <c r="E8" s="90">
        <f>D8</f>
        <v>0.32</v>
      </c>
      <c r="F8" s="90">
        <v>0.32</v>
      </c>
      <c r="G8" s="90">
        <v>0.32</v>
      </c>
      <c r="H8" s="90">
        <v>0.32</v>
      </c>
      <c r="I8" s="90">
        <v>0.32</v>
      </c>
      <c r="J8" s="90">
        <v>0.32</v>
      </c>
      <c r="K8" s="90">
        <v>0.32</v>
      </c>
      <c r="L8" s="90">
        <v>0.32</v>
      </c>
      <c r="M8" s="90">
        <v>0.32</v>
      </c>
      <c r="N8" s="90">
        <v>0.32</v>
      </c>
      <c r="O8" s="90">
        <v>0.32</v>
      </c>
      <c r="P8" s="90">
        <v>0.32</v>
      </c>
    </row>
    <row r="9" ht="15.75" customHeight="1">
      <c r="A9" s="104" t="s">
        <v>249</v>
      </c>
      <c r="B9" s="210">
        <f t="shared" si="6"/>
        <v>184.64</v>
      </c>
      <c r="C9" s="133">
        <f>AVERAGE(D9:P9)</f>
        <v>14.81846154</v>
      </c>
      <c r="D9" s="137">
        <f>E8*E7</f>
        <v>8</v>
      </c>
      <c r="E9" s="133">
        <f t="shared" ref="E9:P9" si="8">E8*E7</f>
        <v>8</v>
      </c>
      <c r="F9" s="133">
        <f t="shared" si="8"/>
        <v>9.6</v>
      </c>
      <c r="G9" s="133">
        <f t="shared" si="8"/>
        <v>10.88</v>
      </c>
      <c r="H9" s="133">
        <f t="shared" si="8"/>
        <v>12.8</v>
      </c>
      <c r="I9" s="133">
        <f t="shared" si="8"/>
        <v>14.08</v>
      </c>
      <c r="J9" s="133">
        <f t="shared" si="8"/>
        <v>16</v>
      </c>
      <c r="K9" s="133">
        <f t="shared" si="8"/>
        <v>17.28</v>
      </c>
      <c r="L9" s="133">
        <f t="shared" si="8"/>
        <v>19.2</v>
      </c>
      <c r="M9" s="133">
        <f t="shared" si="8"/>
        <v>19.2</v>
      </c>
      <c r="N9" s="133">
        <f t="shared" si="8"/>
        <v>19.2</v>
      </c>
      <c r="O9" s="133">
        <f t="shared" si="8"/>
        <v>19.2</v>
      </c>
      <c r="P9" s="133">
        <f t="shared" si="8"/>
        <v>19.2</v>
      </c>
    </row>
    <row r="10" ht="15.75" customHeight="1">
      <c r="A10" s="104" t="s">
        <v>238</v>
      </c>
      <c r="B10" s="82"/>
      <c r="D10" s="227">
        <v>7921.7</v>
      </c>
      <c r="E10" s="228">
        <f>D10</f>
        <v>7921.7</v>
      </c>
      <c r="F10" s="228">
        <v>9000.0</v>
      </c>
      <c r="G10" s="228">
        <v>9000.0</v>
      </c>
      <c r="H10" s="228">
        <v>10000.0</v>
      </c>
      <c r="I10" s="228">
        <v>10000.0</v>
      </c>
      <c r="J10" s="228">
        <v>11000.0</v>
      </c>
      <c r="K10" s="228">
        <f>J10</f>
        <v>11000</v>
      </c>
      <c r="L10" s="228">
        <v>12000.0</v>
      </c>
      <c r="M10" s="228">
        <f t="shared" ref="M10:P10" si="9">L10</f>
        <v>12000</v>
      </c>
      <c r="N10" s="228">
        <f t="shared" si="9"/>
        <v>12000</v>
      </c>
      <c r="O10" s="228">
        <f t="shared" si="9"/>
        <v>12000</v>
      </c>
      <c r="P10" s="228">
        <f t="shared" si="9"/>
        <v>12000</v>
      </c>
    </row>
    <row r="11" ht="15.75" customHeight="1">
      <c r="A11" s="206" t="s">
        <v>252</v>
      </c>
      <c r="B11" s="399">
        <f>SUM(E11:P11)</f>
        <v>2034573.6</v>
      </c>
      <c r="C11" s="322">
        <f>AVERAGE(E11:P11)</f>
        <v>169547.8</v>
      </c>
      <c r="D11" s="400">
        <f>AVERAGE(E10:P10)</f>
        <v>10660.14167</v>
      </c>
      <c r="E11" s="322">
        <f t="shared" ref="E11:P11" si="10">E10*E9</f>
        <v>63373.6</v>
      </c>
      <c r="F11" s="322">
        <f t="shared" si="10"/>
        <v>86400</v>
      </c>
      <c r="G11" s="322">
        <f t="shared" si="10"/>
        <v>97920</v>
      </c>
      <c r="H11" s="322">
        <f t="shared" si="10"/>
        <v>128000</v>
      </c>
      <c r="I11" s="322">
        <f t="shared" si="10"/>
        <v>140800</v>
      </c>
      <c r="J11" s="322">
        <f t="shared" si="10"/>
        <v>176000</v>
      </c>
      <c r="K11" s="322">
        <f t="shared" si="10"/>
        <v>190080</v>
      </c>
      <c r="L11" s="322">
        <f t="shared" si="10"/>
        <v>230400</v>
      </c>
      <c r="M11" s="322">
        <f t="shared" si="10"/>
        <v>230400</v>
      </c>
      <c r="N11" s="322">
        <f t="shared" si="10"/>
        <v>230400</v>
      </c>
      <c r="O11" s="322">
        <f t="shared" si="10"/>
        <v>230400</v>
      </c>
      <c r="P11" s="322">
        <f t="shared" si="10"/>
        <v>230400</v>
      </c>
      <c r="Q11" s="299"/>
      <c r="R11" s="299"/>
      <c r="S11" s="299"/>
      <c r="T11" s="299"/>
      <c r="U11" s="299"/>
      <c r="V11" s="299"/>
      <c r="W11" s="299"/>
      <c r="X11" s="299"/>
      <c r="Y11" s="299"/>
      <c r="Z11" s="299"/>
    </row>
    <row r="12" ht="15.75" customHeight="1">
      <c r="A12" s="104" t="s">
        <v>261</v>
      </c>
      <c r="B12" s="98"/>
      <c r="C12" s="80"/>
      <c r="D12" s="211">
        <v>1.0</v>
      </c>
      <c r="E12" s="133">
        <f>E9</f>
        <v>8</v>
      </c>
      <c r="F12" s="133">
        <f t="shared" ref="F12:P12" si="11">F9+E12</f>
        <v>17.6</v>
      </c>
      <c r="G12" s="133">
        <f t="shared" si="11"/>
        <v>28.48</v>
      </c>
      <c r="H12" s="133">
        <f t="shared" si="11"/>
        <v>41.28</v>
      </c>
      <c r="I12" s="133">
        <f t="shared" si="11"/>
        <v>55.36</v>
      </c>
      <c r="J12" s="133">
        <f t="shared" si="11"/>
        <v>71.36</v>
      </c>
      <c r="K12" s="133">
        <f t="shared" si="11"/>
        <v>88.64</v>
      </c>
      <c r="L12" s="133">
        <f t="shared" si="11"/>
        <v>107.84</v>
      </c>
      <c r="M12" s="133">
        <f t="shared" si="11"/>
        <v>127.04</v>
      </c>
      <c r="N12" s="133">
        <f t="shared" si="11"/>
        <v>146.24</v>
      </c>
      <c r="O12" s="133">
        <f t="shared" si="11"/>
        <v>165.44</v>
      </c>
      <c r="P12" s="133">
        <f t="shared" si="11"/>
        <v>184.64</v>
      </c>
    </row>
    <row r="13" ht="15.75" customHeight="1">
      <c r="A13" s="104" t="s">
        <v>266</v>
      </c>
      <c r="B13" s="98"/>
      <c r="C13" s="154"/>
      <c r="D13" s="211"/>
      <c r="E13" s="154">
        <f>E11</f>
        <v>63373.6</v>
      </c>
      <c r="F13" s="154">
        <f t="shared" ref="F13:P13" si="12">F11+E13</f>
        <v>149773.6</v>
      </c>
      <c r="G13" s="154">
        <f t="shared" si="12"/>
        <v>247693.6</v>
      </c>
      <c r="H13" s="154">
        <f t="shared" si="12"/>
        <v>375693.6</v>
      </c>
      <c r="I13" s="154">
        <f t="shared" si="12"/>
        <v>516493.6</v>
      </c>
      <c r="J13" s="154">
        <f t="shared" si="12"/>
        <v>692493.6</v>
      </c>
      <c r="K13" s="154">
        <f t="shared" si="12"/>
        <v>882573.6</v>
      </c>
      <c r="L13" s="154">
        <f t="shared" si="12"/>
        <v>1112973.6</v>
      </c>
      <c r="M13" s="154">
        <f t="shared" si="12"/>
        <v>1343373.6</v>
      </c>
      <c r="N13" s="154">
        <f t="shared" si="12"/>
        <v>1573773.6</v>
      </c>
      <c r="O13" s="154">
        <f t="shared" si="12"/>
        <v>1804173.6</v>
      </c>
      <c r="P13" s="154">
        <f t="shared" si="12"/>
        <v>2034573.6</v>
      </c>
    </row>
    <row r="14" ht="15.75" customHeight="1">
      <c r="A14" s="104" t="s">
        <v>267</v>
      </c>
      <c r="B14" s="98"/>
      <c r="C14" s="80"/>
      <c r="D14" s="175">
        <f>AVERAGE(E11:P11)</f>
        <v>169547.8</v>
      </c>
      <c r="E14" s="154">
        <f t="shared" ref="E14:P14" si="13">E4*$D$14</f>
        <v>43494.44751</v>
      </c>
      <c r="F14" s="154">
        <f t="shared" si="13"/>
        <v>91821.6114</v>
      </c>
      <c r="G14" s="154">
        <f t="shared" si="13"/>
        <v>26579.94014</v>
      </c>
      <c r="H14" s="154">
        <f t="shared" si="13"/>
        <v>183643.2228</v>
      </c>
      <c r="I14" s="154">
        <f t="shared" si="13"/>
        <v>154646.9245</v>
      </c>
      <c r="J14" s="154">
        <f t="shared" si="13"/>
        <v>186059.581</v>
      </c>
      <c r="K14" s="154">
        <f t="shared" si="13"/>
        <v>169145.0736</v>
      </c>
      <c r="L14" s="154">
        <f t="shared" si="13"/>
        <v>253717.6105</v>
      </c>
      <c r="M14" s="154">
        <f t="shared" si="13"/>
        <v>198141.372</v>
      </c>
      <c r="N14" s="154">
        <f t="shared" si="13"/>
        <v>270632.1178</v>
      </c>
      <c r="O14" s="154">
        <f t="shared" si="13"/>
        <v>239219.4613</v>
      </c>
      <c r="P14" s="154">
        <f t="shared" si="13"/>
        <v>217472.2375</v>
      </c>
    </row>
    <row r="15" ht="15.75" customHeight="1">
      <c r="A15" s="315" t="s">
        <v>284</v>
      </c>
      <c r="B15" s="401"/>
      <c r="C15" s="402">
        <v>0.4</v>
      </c>
      <c r="D15" s="403">
        <v>0.62</v>
      </c>
      <c r="E15" s="402">
        <f t="shared" ref="E15:P15" si="14">D15</f>
        <v>0.62</v>
      </c>
      <c r="F15" s="402">
        <f t="shared" si="14"/>
        <v>0.62</v>
      </c>
      <c r="G15" s="402">
        <f t="shared" si="14"/>
        <v>0.62</v>
      </c>
      <c r="H15" s="402">
        <f t="shared" si="14"/>
        <v>0.62</v>
      </c>
      <c r="I15" s="402">
        <f t="shared" si="14"/>
        <v>0.62</v>
      </c>
      <c r="J15" s="402">
        <f t="shared" si="14"/>
        <v>0.62</v>
      </c>
      <c r="K15" s="402">
        <f t="shared" si="14"/>
        <v>0.62</v>
      </c>
      <c r="L15" s="402">
        <f t="shared" si="14"/>
        <v>0.62</v>
      </c>
      <c r="M15" s="402">
        <f t="shared" si="14"/>
        <v>0.62</v>
      </c>
      <c r="N15" s="402">
        <f t="shared" si="14"/>
        <v>0.62</v>
      </c>
      <c r="O15" s="402">
        <f t="shared" si="14"/>
        <v>0.62</v>
      </c>
      <c r="P15" s="402">
        <f t="shared" si="14"/>
        <v>0.62</v>
      </c>
      <c r="Q15" s="316"/>
      <c r="R15" s="316">
        <f>900/7000</f>
        <v>0.1285714286</v>
      </c>
      <c r="S15" s="316"/>
      <c r="T15" s="316"/>
      <c r="U15" s="316"/>
      <c r="V15" s="316"/>
      <c r="W15" s="316"/>
      <c r="X15" s="316"/>
      <c r="Y15" s="316"/>
      <c r="Z15" s="316"/>
    </row>
    <row r="16" ht="15.75" customHeight="1">
      <c r="A16" s="104" t="s">
        <v>285</v>
      </c>
      <c r="B16" s="207">
        <f>SUM(E16:P16)</f>
        <v>1261435.632</v>
      </c>
      <c r="C16" s="154">
        <f>AVERAGE(E16:P16)</f>
        <v>105119.636</v>
      </c>
      <c r="D16" s="175">
        <f t="shared" ref="D16:P16" si="15">D15*D11</f>
        <v>6609.287833</v>
      </c>
      <c r="E16" s="158">
        <f t="shared" si="15"/>
        <v>39291.632</v>
      </c>
      <c r="F16" s="158">
        <f t="shared" si="15"/>
        <v>53568</v>
      </c>
      <c r="G16" s="158">
        <f t="shared" si="15"/>
        <v>60710.4</v>
      </c>
      <c r="H16" s="158">
        <f t="shared" si="15"/>
        <v>79360</v>
      </c>
      <c r="I16" s="158">
        <f t="shared" si="15"/>
        <v>87296</v>
      </c>
      <c r="J16" s="158">
        <f t="shared" si="15"/>
        <v>109120</v>
      </c>
      <c r="K16" s="158">
        <f t="shared" si="15"/>
        <v>117849.6</v>
      </c>
      <c r="L16" s="158">
        <f t="shared" si="15"/>
        <v>142848</v>
      </c>
      <c r="M16" s="158">
        <f t="shared" si="15"/>
        <v>142848</v>
      </c>
      <c r="N16" s="158">
        <f t="shared" si="15"/>
        <v>142848</v>
      </c>
      <c r="O16" s="158">
        <f t="shared" si="15"/>
        <v>142848</v>
      </c>
      <c r="P16" s="158">
        <f t="shared" si="15"/>
        <v>142848</v>
      </c>
    </row>
    <row r="17" ht="15.75" customHeight="1">
      <c r="A17" s="163" t="s">
        <v>168</v>
      </c>
      <c r="B17" s="154" t="s">
        <v>156</v>
      </c>
      <c r="C17" s="90" t="s">
        <v>169</v>
      </c>
      <c r="D17" s="291" t="s">
        <v>286</v>
      </c>
      <c r="E17" s="292">
        <f t="shared" ref="E17:P17" si="16">E16/4</f>
        <v>9822.908</v>
      </c>
      <c r="F17" s="292">
        <f t="shared" si="16"/>
        <v>13392</v>
      </c>
      <c r="G17" s="292">
        <f t="shared" si="16"/>
        <v>15177.6</v>
      </c>
      <c r="H17" s="292">
        <f t="shared" si="16"/>
        <v>19840</v>
      </c>
      <c r="I17" s="292">
        <f t="shared" si="16"/>
        <v>21824</v>
      </c>
      <c r="J17" s="292">
        <f t="shared" si="16"/>
        <v>27280</v>
      </c>
      <c r="K17" s="292">
        <f t="shared" si="16"/>
        <v>29462.4</v>
      </c>
      <c r="L17" s="292">
        <f t="shared" si="16"/>
        <v>35712</v>
      </c>
      <c r="M17" s="292">
        <f t="shared" si="16"/>
        <v>35712</v>
      </c>
      <c r="N17" s="292">
        <f t="shared" si="16"/>
        <v>35712</v>
      </c>
      <c r="O17" s="292">
        <f t="shared" si="16"/>
        <v>35712</v>
      </c>
      <c r="P17" s="292">
        <f t="shared" si="16"/>
        <v>35712</v>
      </c>
    </row>
    <row r="18" ht="15.75" customHeight="1">
      <c r="A18" s="164" t="s">
        <v>174</v>
      </c>
      <c r="B18" s="90">
        <f>5125/8000</f>
        <v>0.640625</v>
      </c>
      <c r="C18" s="80">
        <f>3*4.28</f>
        <v>12.84</v>
      </c>
      <c r="D18" s="293" t="s">
        <v>287</v>
      </c>
      <c r="E18" s="292">
        <v>0.0</v>
      </c>
      <c r="F18" s="292">
        <f t="shared" ref="F18:P18" si="17">E17</f>
        <v>9822.908</v>
      </c>
      <c r="G18" s="292">
        <f t="shared" si="17"/>
        <v>13392</v>
      </c>
      <c r="H18" s="292">
        <f t="shared" si="17"/>
        <v>15177.6</v>
      </c>
      <c r="I18" s="292">
        <f t="shared" si="17"/>
        <v>19840</v>
      </c>
      <c r="J18" s="292">
        <f t="shared" si="17"/>
        <v>21824</v>
      </c>
      <c r="K18" s="292">
        <f t="shared" si="17"/>
        <v>27280</v>
      </c>
      <c r="L18" s="292">
        <f t="shared" si="17"/>
        <v>29462.4</v>
      </c>
      <c r="M18" s="292">
        <f t="shared" si="17"/>
        <v>35712</v>
      </c>
      <c r="N18" s="292">
        <f t="shared" si="17"/>
        <v>35712</v>
      </c>
      <c r="O18" s="292">
        <f t="shared" si="17"/>
        <v>35712</v>
      </c>
      <c r="P18" s="292">
        <f t="shared" si="17"/>
        <v>35712</v>
      </c>
    </row>
    <row r="19" ht="15.75" customHeight="1">
      <c r="A19" s="164" t="s">
        <v>288</v>
      </c>
      <c r="B19" s="90">
        <f>0.55</f>
        <v>0.55</v>
      </c>
      <c r="C19" s="154"/>
      <c r="D19" s="154" t="s">
        <v>289</v>
      </c>
      <c r="E19" s="292">
        <v>0.0</v>
      </c>
      <c r="F19" s="292"/>
      <c r="G19" s="292">
        <f t="shared" ref="G19:P19" si="18">F18</f>
        <v>9822.908</v>
      </c>
      <c r="H19" s="292">
        <f t="shared" si="18"/>
        <v>13392</v>
      </c>
      <c r="I19" s="292">
        <f t="shared" si="18"/>
        <v>15177.6</v>
      </c>
      <c r="J19" s="292">
        <f t="shared" si="18"/>
        <v>19840</v>
      </c>
      <c r="K19" s="292">
        <f t="shared" si="18"/>
        <v>21824</v>
      </c>
      <c r="L19" s="292">
        <f t="shared" si="18"/>
        <v>27280</v>
      </c>
      <c r="M19" s="292">
        <f t="shared" si="18"/>
        <v>29462.4</v>
      </c>
      <c r="N19" s="292">
        <f t="shared" si="18"/>
        <v>35712</v>
      </c>
      <c r="O19" s="292">
        <f t="shared" si="18"/>
        <v>35712</v>
      </c>
      <c r="P19" s="292">
        <f t="shared" si="18"/>
        <v>35712</v>
      </c>
    </row>
    <row r="20" ht="15.75" customHeight="1">
      <c r="A20" s="164" t="s">
        <v>176</v>
      </c>
      <c r="B20" s="130">
        <f>59%</f>
        <v>0.59</v>
      </c>
      <c r="D20" s="87" t="s">
        <v>290</v>
      </c>
      <c r="E20" s="292">
        <v>0.0</v>
      </c>
      <c r="F20" s="294"/>
      <c r="G20" s="294"/>
      <c r="H20" s="292">
        <f t="shared" ref="H20:P20" si="19">G19</f>
        <v>9822.908</v>
      </c>
      <c r="I20" s="292">
        <f t="shared" si="19"/>
        <v>13392</v>
      </c>
      <c r="J20" s="292">
        <f t="shared" si="19"/>
        <v>15177.6</v>
      </c>
      <c r="K20" s="292">
        <f t="shared" si="19"/>
        <v>19840</v>
      </c>
      <c r="L20" s="292">
        <f t="shared" si="19"/>
        <v>21824</v>
      </c>
      <c r="M20" s="292">
        <f t="shared" si="19"/>
        <v>27280</v>
      </c>
      <c r="N20" s="292">
        <f t="shared" si="19"/>
        <v>29462.4</v>
      </c>
      <c r="O20" s="292">
        <f t="shared" si="19"/>
        <v>35712</v>
      </c>
      <c r="P20" s="292">
        <f t="shared" si="19"/>
        <v>35712</v>
      </c>
    </row>
    <row r="21" ht="15.75" customHeight="1">
      <c r="D21" s="295" t="s">
        <v>291</v>
      </c>
      <c r="E21" s="296">
        <f t="shared" ref="E21:P21" si="20">SUM(E17:E20)</f>
        <v>9822.908</v>
      </c>
      <c r="F21" s="296">
        <f t="shared" si="20"/>
        <v>23214.908</v>
      </c>
      <c r="G21" s="296">
        <f t="shared" si="20"/>
        <v>38392.508</v>
      </c>
      <c r="H21" s="296">
        <f t="shared" si="20"/>
        <v>58232.508</v>
      </c>
      <c r="I21" s="296">
        <f t="shared" si="20"/>
        <v>70233.6</v>
      </c>
      <c r="J21" s="296">
        <f t="shared" si="20"/>
        <v>84121.6</v>
      </c>
      <c r="K21" s="296">
        <f t="shared" si="20"/>
        <v>98406.4</v>
      </c>
      <c r="L21" s="296">
        <f t="shared" si="20"/>
        <v>114278.4</v>
      </c>
      <c r="M21" s="296">
        <f t="shared" si="20"/>
        <v>128166.4</v>
      </c>
      <c r="N21" s="296">
        <f t="shared" si="20"/>
        <v>136598.4</v>
      </c>
      <c r="O21" s="296">
        <f t="shared" si="20"/>
        <v>142848</v>
      </c>
      <c r="P21" s="296">
        <f t="shared" si="20"/>
        <v>142848</v>
      </c>
    </row>
    <row r="22" ht="15.75" customHeight="1">
      <c r="B22" s="130">
        <f>B24/B11</f>
        <v>0.7160732018</v>
      </c>
      <c r="D22" s="295" t="s">
        <v>292</v>
      </c>
      <c r="E22" s="296">
        <v>58000.0</v>
      </c>
      <c r="F22" s="296">
        <v>39000.0</v>
      </c>
      <c r="G22" s="296">
        <v>25000.0</v>
      </c>
      <c r="H22" s="296">
        <v>5500.0</v>
      </c>
      <c r="I22" s="296"/>
      <c r="J22" s="296"/>
      <c r="K22" s="296"/>
      <c r="L22" s="296"/>
      <c r="M22" s="296"/>
      <c r="N22" s="296"/>
      <c r="O22" s="296"/>
      <c r="P22" s="296"/>
    </row>
    <row r="23" ht="15.75" customHeight="1">
      <c r="A23" s="299" t="s">
        <v>293</v>
      </c>
      <c r="B23" s="300">
        <f t="shared" ref="B23:B24" si="22">SUM(E23:P23)</f>
        <v>2230618.761</v>
      </c>
      <c r="C23" s="299"/>
      <c r="D23" s="298">
        <v>28000.0</v>
      </c>
      <c r="E23" s="298">
        <f t="shared" ref="E23:P23" si="21">SUM(E21:E22)/E15+$D$23</f>
        <v>137391.7871</v>
      </c>
      <c r="F23" s="298">
        <f t="shared" si="21"/>
        <v>128346.6258</v>
      </c>
      <c r="G23" s="298">
        <f t="shared" si="21"/>
        <v>130245.9806</v>
      </c>
      <c r="H23" s="298">
        <f t="shared" si="21"/>
        <v>130794.3677</v>
      </c>
      <c r="I23" s="298">
        <f t="shared" si="21"/>
        <v>141280</v>
      </c>
      <c r="J23" s="298">
        <f t="shared" si="21"/>
        <v>163680</v>
      </c>
      <c r="K23" s="298">
        <f t="shared" si="21"/>
        <v>186720</v>
      </c>
      <c r="L23" s="298">
        <f t="shared" si="21"/>
        <v>212320</v>
      </c>
      <c r="M23" s="298">
        <f t="shared" si="21"/>
        <v>234720</v>
      </c>
      <c r="N23" s="298">
        <f t="shared" si="21"/>
        <v>248320</v>
      </c>
      <c r="O23" s="298">
        <f t="shared" si="21"/>
        <v>258400</v>
      </c>
      <c r="P23" s="298">
        <f t="shared" si="21"/>
        <v>258400</v>
      </c>
      <c r="Q23" s="299"/>
      <c r="R23" s="299"/>
      <c r="S23" s="299"/>
      <c r="T23" s="299"/>
      <c r="U23" s="299"/>
      <c r="V23" s="299"/>
      <c r="W23" s="299"/>
      <c r="X23" s="299"/>
      <c r="Y23" s="299"/>
      <c r="Z23" s="299"/>
    </row>
    <row r="24" ht="19.5" customHeight="1">
      <c r="A24" s="301" t="s">
        <v>294</v>
      </c>
      <c r="B24" s="302">
        <f t="shared" si="22"/>
        <v>1456903.632</v>
      </c>
      <c r="C24" s="303" t="s">
        <v>295</v>
      </c>
      <c r="D24" s="304">
        <f>28000*0.84</f>
        <v>23520</v>
      </c>
      <c r="E24" s="305">
        <f t="shared" ref="E24:P24" si="23">$D$24+E22+E21</f>
        <v>91342.908</v>
      </c>
      <c r="F24" s="305">
        <f t="shared" si="23"/>
        <v>85734.908</v>
      </c>
      <c r="G24" s="305">
        <f t="shared" si="23"/>
        <v>86912.508</v>
      </c>
      <c r="H24" s="305">
        <f t="shared" si="23"/>
        <v>87252.508</v>
      </c>
      <c r="I24" s="305">
        <f t="shared" si="23"/>
        <v>93753.6</v>
      </c>
      <c r="J24" s="305">
        <f t="shared" si="23"/>
        <v>107641.6</v>
      </c>
      <c r="K24" s="305">
        <f t="shared" si="23"/>
        <v>121926.4</v>
      </c>
      <c r="L24" s="305">
        <f t="shared" si="23"/>
        <v>137798.4</v>
      </c>
      <c r="M24" s="305">
        <f t="shared" si="23"/>
        <v>151686.4</v>
      </c>
      <c r="N24" s="305">
        <f t="shared" si="23"/>
        <v>160118.4</v>
      </c>
      <c r="O24" s="305">
        <f t="shared" si="23"/>
        <v>166368</v>
      </c>
      <c r="P24" s="305">
        <f t="shared" si="23"/>
        <v>166368</v>
      </c>
    </row>
    <row r="25" ht="15.75" customHeight="1">
      <c r="A25" s="104" t="s">
        <v>296</v>
      </c>
      <c r="B25" s="207">
        <f>'Premissas gerais'!B99</f>
        <v>85921</v>
      </c>
      <c r="C25" s="154"/>
      <c r="D25" s="175"/>
      <c r="E25" s="154">
        <f>B25</f>
        <v>85921</v>
      </c>
      <c r="F25" s="154">
        <f t="shared" ref="F25:P25" si="24">E25</f>
        <v>85921</v>
      </c>
      <c r="G25" s="154">
        <f t="shared" si="24"/>
        <v>85921</v>
      </c>
      <c r="H25" s="154">
        <f t="shared" si="24"/>
        <v>85921</v>
      </c>
      <c r="I25" s="154">
        <f t="shared" si="24"/>
        <v>85921</v>
      </c>
      <c r="J25" s="154">
        <f t="shared" si="24"/>
        <v>85921</v>
      </c>
      <c r="K25" s="154">
        <f t="shared" si="24"/>
        <v>85921</v>
      </c>
      <c r="L25" s="154">
        <f t="shared" si="24"/>
        <v>85921</v>
      </c>
      <c r="M25" s="154">
        <f t="shared" si="24"/>
        <v>85921</v>
      </c>
      <c r="N25" s="154">
        <f t="shared" si="24"/>
        <v>85921</v>
      </c>
      <c r="O25" s="154">
        <f t="shared" si="24"/>
        <v>85921</v>
      </c>
      <c r="P25" s="154">
        <f t="shared" si="24"/>
        <v>85921</v>
      </c>
    </row>
    <row r="26" ht="15.75" customHeight="1">
      <c r="A26" s="306" t="s">
        <v>297</v>
      </c>
      <c r="B26" s="307"/>
      <c r="C26" s="308">
        <f>D27/B23</f>
        <v>0.1909118848</v>
      </c>
      <c r="D26" s="309">
        <f>AVERAGE(E26:P26)</f>
        <v>35487.636</v>
      </c>
      <c r="E26" s="292">
        <f t="shared" ref="E26:P26" si="25">E24-E25</f>
        <v>5421.908</v>
      </c>
      <c r="F26" s="292">
        <f t="shared" si="25"/>
        <v>-186.092</v>
      </c>
      <c r="G26" s="292">
        <f t="shared" si="25"/>
        <v>991.508</v>
      </c>
      <c r="H26" s="292">
        <f t="shared" si="25"/>
        <v>1331.508</v>
      </c>
      <c r="I26" s="292">
        <f t="shared" si="25"/>
        <v>7832.6</v>
      </c>
      <c r="J26" s="292">
        <f t="shared" si="25"/>
        <v>21720.6</v>
      </c>
      <c r="K26" s="292">
        <f t="shared" si="25"/>
        <v>36005.4</v>
      </c>
      <c r="L26" s="292">
        <f t="shared" si="25"/>
        <v>51877.4</v>
      </c>
      <c r="M26" s="292">
        <f t="shared" si="25"/>
        <v>65765.4</v>
      </c>
      <c r="N26" s="292">
        <f t="shared" si="25"/>
        <v>74197.4</v>
      </c>
      <c r="O26" s="292">
        <f t="shared" si="25"/>
        <v>80447</v>
      </c>
      <c r="P26" s="292">
        <f t="shared" si="25"/>
        <v>80447</v>
      </c>
      <c r="Q26" s="306"/>
      <c r="R26" s="306"/>
      <c r="S26" s="306"/>
      <c r="T26" s="306"/>
      <c r="U26" s="306"/>
      <c r="V26" s="306"/>
      <c r="W26" s="306"/>
      <c r="X26" s="306"/>
      <c r="Y26" s="306"/>
      <c r="Z26" s="306"/>
    </row>
    <row r="27" ht="15.75" customHeight="1">
      <c r="A27" s="311" t="s">
        <v>298</v>
      </c>
      <c r="B27" s="82"/>
      <c r="D27" s="227">
        <f>P27</f>
        <v>425851.632</v>
      </c>
      <c r="E27" s="154">
        <f>E26+C27</f>
        <v>5421.908</v>
      </c>
      <c r="F27" s="154">
        <f t="shared" ref="F27:P27" si="26">F26+E27</f>
        <v>5235.816</v>
      </c>
      <c r="G27" s="154">
        <f t="shared" si="26"/>
        <v>6227.324</v>
      </c>
      <c r="H27" s="154">
        <f t="shared" si="26"/>
        <v>7558.832</v>
      </c>
      <c r="I27" s="154">
        <f t="shared" si="26"/>
        <v>15391.432</v>
      </c>
      <c r="J27" s="154">
        <f t="shared" si="26"/>
        <v>37112.032</v>
      </c>
      <c r="K27" s="154">
        <f t="shared" si="26"/>
        <v>73117.432</v>
      </c>
      <c r="L27" s="154">
        <f t="shared" si="26"/>
        <v>124994.832</v>
      </c>
      <c r="M27" s="154">
        <f t="shared" si="26"/>
        <v>190760.232</v>
      </c>
      <c r="N27" s="154">
        <f t="shared" si="26"/>
        <v>264957.632</v>
      </c>
      <c r="O27" s="154">
        <f t="shared" si="26"/>
        <v>345404.632</v>
      </c>
      <c r="P27" s="154">
        <f t="shared" si="26"/>
        <v>425851.632</v>
      </c>
    </row>
    <row r="28" ht="15.75" customHeight="1">
      <c r="A28" s="164"/>
      <c r="B28" s="82"/>
      <c r="D28" s="227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</row>
    <row r="29" ht="15.75" customHeight="1">
      <c r="A29" s="164"/>
      <c r="B29" s="82"/>
      <c r="D29" s="227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</row>
    <row r="30" ht="15.75" customHeight="1">
      <c r="A30" s="164"/>
      <c r="B30" s="82"/>
      <c r="D30" s="227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</row>
    <row r="31" ht="15.75" customHeight="1">
      <c r="A31" s="81" t="s">
        <v>299</v>
      </c>
      <c r="B31" s="98"/>
      <c r="C31" s="80"/>
      <c r="D31" s="211"/>
      <c r="E31" s="80">
        <v>0.0</v>
      </c>
      <c r="F31" s="80">
        <v>0.0</v>
      </c>
      <c r="G31" s="80">
        <v>1.0</v>
      </c>
      <c r="H31" s="80"/>
      <c r="I31" s="80"/>
      <c r="J31" s="80"/>
      <c r="K31" s="80"/>
      <c r="L31" s="80"/>
      <c r="M31" s="80"/>
      <c r="N31" s="80"/>
      <c r="O31" s="80"/>
      <c r="P31" s="80"/>
    </row>
    <row r="32" ht="15.75" customHeight="1">
      <c r="A32" s="104" t="s">
        <v>238</v>
      </c>
      <c r="B32" s="98"/>
      <c r="C32" s="80"/>
      <c r="D32" s="175">
        <v>100.0</v>
      </c>
      <c r="E32" s="154">
        <f t="shared" ref="E32:P32" si="27">D32</f>
        <v>100</v>
      </c>
      <c r="F32" s="154">
        <f t="shared" si="27"/>
        <v>100</v>
      </c>
      <c r="G32" s="154">
        <f t="shared" si="27"/>
        <v>100</v>
      </c>
      <c r="H32" s="154">
        <f t="shared" si="27"/>
        <v>100</v>
      </c>
      <c r="I32" s="154">
        <f t="shared" si="27"/>
        <v>100</v>
      </c>
      <c r="J32" s="154">
        <f t="shared" si="27"/>
        <v>100</v>
      </c>
      <c r="K32" s="154">
        <f t="shared" si="27"/>
        <v>100</v>
      </c>
      <c r="L32" s="154">
        <f t="shared" si="27"/>
        <v>100</v>
      </c>
      <c r="M32" s="154">
        <f t="shared" si="27"/>
        <v>100</v>
      </c>
      <c r="N32" s="154">
        <f t="shared" si="27"/>
        <v>100</v>
      </c>
      <c r="O32" s="154">
        <f t="shared" si="27"/>
        <v>100</v>
      </c>
      <c r="P32" s="154">
        <f t="shared" si="27"/>
        <v>100</v>
      </c>
    </row>
    <row r="33" ht="15.75" customHeight="1">
      <c r="A33" s="104" t="s">
        <v>300</v>
      </c>
      <c r="B33" s="98"/>
      <c r="C33" s="80"/>
      <c r="D33" s="155">
        <v>0.2</v>
      </c>
      <c r="E33" s="90">
        <f t="shared" ref="E33:P33" si="28">D33</f>
        <v>0.2</v>
      </c>
      <c r="F33" s="90">
        <f t="shared" si="28"/>
        <v>0.2</v>
      </c>
      <c r="G33" s="90">
        <f t="shared" si="28"/>
        <v>0.2</v>
      </c>
      <c r="H33" s="90">
        <f t="shared" si="28"/>
        <v>0.2</v>
      </c>
      <c r="I33" s="90">
        <f t="shared" si="28"/>
        <v>0.2</v>
      </c>
      <c r="J33" s="90">
        <f t="shared" si="28"/>
        <v>0.2</v>
      </c>
      <c r="K33" s="90">
        <f t="shared" si="28"/>
        <v>0.2</v>
      </c>
      <c r="L33" s="90">
        <f t="shared" si="28"/>
        <v>0.2</v>
      </c>
      <c r="M33" s="90">
        <f t="shared" si="28"/>
        <v>0.2</v>
      </c>
      <c r="N33" s="90">
        <f t="shared" si="28"/>
        <v>0.2</v>
      </c>
      <c r="O33" s="90">
        <f t="shared" si="28"/>
        <v>0.2</v>
      </c>
      <c r="P33" s="90">
        <f t="shared" si="28"/>
        <v>0.2</v>
      </c>
    </row>
    <row r="34" ht="15.75" customHeight="1">
      <c r="A34" s="104" t="s">
        <v>301</v>
      </c>
      <c r="B34" s="98"/>
      <c r="C34" s="80"/>
      <c r="D34" s="211"/>
      <c r="E34" s="80">
        <f t="shared" ref="E34:P34" si="29">E33*E9</f>
        <v>1.6</v>
      </c>
      <c r="F34" s="80">
        <f t="shared" si="29"/>
        <v>1.92</v>
      </c>
      <c r="G34" s="80">
        <f t="shared" si="29"/>
        <v>2.176</v>
      </c>
      <c r="H34" s="80">
        <f t="shared" si="29"/>
        <v>2.56</v>
      </c>
      <c r="I34" s="80">
        <f t="shared" si="29"/>
        <v>2.816</v>
      </c>
      <c r="J34" s="80">
        <f t="shared" si="29"/>
        <v>3.2</v>
      </c>
      <c r="K34" s="80">
        <f t="shared" si="29"/>
        <v>3.456</v>
      </c>
      <c r="L34" s="80">
        <f t="shared" si="29"/>
        <v>3.84</v>
      </c>
      <c r="M34" s="80">
        <f t="shared" si="29"/>
        <v>3.84</v>
      </c>
      <c r="N34" s="80">
        <f t="shared" si="29"/>
        <v>3.84</v>
      </c>
      <c r="O34" s="80">
        <f t="shared" si="29"/>
        <v>3.84</v>
      </c>
      <c r="P34" s="80">
        <f t="shared" si="29"/>
        <v>3.84</v>
      </c>
    </row>
    <row r="35" ht="15.75" customHeight="1">
      <c r="A35" s="104" t="s">
        <v>302</v>
      </c>
      <c r="B35" s="98"/>
      <c r="C35" s="80"/>
      <c r="D35" s="211" t="s">
        <v>303</v>
      </c>
      <c r="E35" s="80">
        <v>0.0</v>
      </c>
      <c r="F35" s="80">
        <v>0.0</v>
      </c>
      <c r="G35" s="80">
        <v>0.0</v>
      </c>
      <c r="H35" s="80">
        <f t="shared" ref="H35:P35" si="30">H34+G35</f>
        <v>2.56</v>
      </c>
      <c r="I35" s="80">
        <f t="shared" si="30"/>
        <v>5.376</v>
      </c>
      <c r="J35" s="80">
        <f t="shared" si="30"/>
        <v>8.576</v>
      </c>
      <c r="K35" s="80">
        <f t="shared" si="30"/>
        <v>12.032</v>
      </c>
      <c r="L35" s="80">
        <f t="shared" si="30"/>
        <v>15.872</v>
      </c>
      <c r="M35" s="80">
        <f t="shared" si="30"/>
        <v>19.712</v>
      </c>
      <c r="N35" s="80">
        <f t="shared" si="30"/>
        <v>23.552</v>
      </c>
      <c r="O35" s="80">
        <f t="shared" si="30"/>
        <v>27.392</v>
      </c>
      <c r="P35" s="80">
        <f t="shared" si="30"/>
        <v>31.232</v>
      </c>
    </row>
    <row r="36" ht="15.75" customHeight="1">
      <c r="A36" s="206" t="s">
        <v>304</v>
      </c>
      <c r="B36" s="312"/>
      <c r="C36" s="313"/>
      <c r="D36" s="314"/>
      <c r="E36" s="298">
        <f t="shared" ref="E36:P36" si="31">E35*E32</f>
        <v>0</v>
      </c>
      <c r="F36" s="298">
        <f t="shared" si="31"/>
        <v>0</v>
      </c>
      <c r="G36" s="298">
        <f t="shared" si="31"/>
        <v>0</v>
      </c>
      <c r="H36" s="298">
        <f t="shared" si="31"/>
        <v>256</v>
      </c>
      <c r="I36" s="298">
        <f t="shared" si="31"/>
        <v>537.6</v>
      </c>
      <c r="J36" s="298">
        <f t="shared" si="31"/>
        <v>857.6</v>
      </c>
      <c r="K36" s="298">
        <f t="shared" si="31"/>
        <v>1203.2</v>
      </c>
      <c r="L36" s="298">
        <f t="shared" si="31"/>
        <v>1587.2</v>
      </c>
      <c r="M36" s="298">
        <f t="shared" si="31"/>
        <v>1971.2</v>
      </c>
      <c r="N36" s="298">
        <f t="shared" si="31"/>
        <v>2355.2</v>
      </c>
      <c r="O36" s="298">
        <f t="shared" si="31"/>
        <v>2739.2</v>
      </c>
      <c r="P36" s="298">
        <f t="shared" si="31"/>
        <v>3123.2</v>
      </c>
      <c r="Q36" s="299"/>
      <c r="R36" s="299"/>
      <c r="S36" s="299"/>
      <c r="T36" s="299"/>
      <c r="U36" s="299"/>
      <c r="V36" s="299"/>
      <c r="W36" s="299"/>
      <c r="X36" s="299"/>
      <c r="Y36" s="299"/>
      <c r="Z36" s="299"/>
    </row>
    <row r="37" ht="15.75" customHeight="1">
      <c r="A37" s="104" t="s">
        <v>305</v>
      </c>
      <c r="B37" s="80"/>
      <c r="C37" s="80"/>
      <c r="D37" s="211"/>
      <c r="E37" s="88">
        <f>E36</f>
        <v>0</v>
      </c>
      <c r="F37" s="88">
        <f t="shared" ref="F37:P37" si="32">F36+E37</f>
        <v>0</v>
      </c>
      <c r="G37" s="88">
        <f t="shared" si="32"/>
        <v>0</v>
      </c>
      <c r="H37" s="88">
        <f t="shared" si="32"/>
        <v>256</v>
      </c>
      <c r="I37" s="88">
        <f t="shared" si="32"/>
        <v>793.6</v>
      </c>
      <c r="J37" s="88">
        <f t="shared" si="32"/>
        <v>1651.2</v>
      </c>
      <c r="K37" s="88">
        <f t="shared" si="32"/>
        <v>2854.4</v>
      </c>
      <c r="L37" s="88">
        <f t="shared" si="32"/>
        <v>4441.6</v>
      </c>
      <c r="M37" s="88">
        <f t="shared" si="32"/>
        <v>6412.8</v>
      </c>
      <c r="N37" s="88">
        <f t="shared" si="32"/>
        <v>8768</v>
      </c>
      <c r="O37" s="88">
        <f t="shared" si="32"/>
        <v>11507.2</v>
      </c>
      <c r="P37" s="88">
        <f t="shared" si="32"/>
        <v>14630.4</v>
      </c>
      <c r="Q37" s="164"/>
      <c r="R37" s="164"/>
      <c r="S37" s="164"/>
      <c r="T37" s="164"/>
      <c r="U37" s="164"/>
      <c r="V37" s="164"/>
      <c r="W37" s="164"/>
      <c r="X37" s="164"/>
      <c r="Y37" s="164"/>
      <c r="Z37" s="164"/>
    </row>
    <row r="38" ht="15.75" customHeight="1">
      <c r="A38" s="104"/>
      <c r="B38" s="80"/>
      <c r="C38" s="80"/>
      <c r="D38" s="211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164"/>
      <c r="R38" s="164"/>
      <c r="S38" s="164"/>
      <c r="T38" s="164"/>
      <c r="U38" s="164"/>
      <c r="V38" s="164"/>
      <c r="W38" s="164"/>
      <c r="X38" s="164"/>
      <c r="Y38" s="164"/>
      <c r="Z38" s="164"/>
    </row>
    <row r="39" ht="15.75" customHeight="1">
      <c r="A39" s="104"/>
      <c r="B39" s="80"/>
      <c r="C39" s="80"/>
      <c r="D39" s="211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164"/>
      <c r="R39" s="164"/>
      <c r="S39" s="164"/>
      <c r="T39" s="164"/>
      <c r="U39" s="164"/>
      <c r="V39" s="164"/>
      <c r="W39" s="164"/>
      <c r="X39" s="164"/>
      <c r="Y39" s="164"/>
      <c r="Z39" s="164"/>
    </row>
    <row r="40" ht="15.75" customHeight="1">
      <c r="A40" s="163" t="s">
        <v>306</v>
      </c>
      <c r="B40" s="80"/>
      <c r="C40" s="80"/>
      <c r="D40" s="175">
        <v>200.0</v>
      </c>
      <c r="E40" s="88">
        <f t="shared" ref="E40:P40" si="33">D40</f>
        <v>200</v>
      </c>
      <c r="F40" s="88">
        <f t="shared" si="33"/>
        <v>200</v>
      </c>
      <c r="G40" s="88">
        <f t="shared" si="33"/>
        <v>200</v>
      </c>
      <c r="H40" s="88">
        <f t="shared" si="33"/>
        <v>200</v>
      </c>
      <c r="I40" s="88">
        <f t="shared" si="33"/>
        <v>200</v>
      </c>
      <c r="J40" s="88">
        <f t="shared" si="33"/>
        <v>200</v>
      </c>
      <c r="K40" s="88">
        <f t="shared" si="33"/>
        <v>200</v>
      </c>
      <c r="L40" s="88">
        <f t="shared" si="33"/>
        <v>200</v>
      </c>
      <c r="M40" s="88">
        <f t="shared" si="33"/>
        <v>200</v>
      </c>
      <c r="N40" s="88">
        <f t="shared" si="33"/>
        <v>200</v>
      </c>
      <c r="O40" s="88">
        <f t="shared" si="33"/>
        <v>200</v>
      </c>
      <c r="P40" s="88">
        <f t="shared" si="33"/>
        <v>200</v>
      </c>
    </row>
    <row r="41" ht="15.75" customHeight="1">
      <c r="A41" s="104" t="s">
        <v>300</v>
      </c>
      <c r="D41" s="155">
        <v>0.1</v>
      </c>
      <c r="E41" s="90">
        <f t="shared" ref="E41:P41" si="34">D41</f>
        <v>0.1</v>
      </c>
      <c r="F41" s="90">
        <f t="shared" si="34"/>
        <v>0.1</v>
      </c>
      <c r="G41" s="90">
        <f t="shared" si="34"/>
        <v>0.1</v>
      </c>
      <c r="H41" s="90">
        <f t="shared" si="34"/>
        <v>0.1</v>
      </c>
      <c r="I41" s="90">
        <f t="shared" si="34"/>
        <v>0.1</v>
      </c>
      <c r="J41" s="90">
        <f t="shared" si="34"/>
        <v>0.1</v>
      </c>
      <c r="K41" s="90">
        <f t="shared" si="34"/>
        <v>0.1</v>
      </c>
      <c r="L41" s="90">
        <f t="shared" si="34"/>
        <v>0.1</v>
      </c>
      <c r="M41" s="90">
        <f t="shared" si="34"/>
        <v>0.1</v>
      </c>
      <c r="N41" s="90">
        <f t="shared" si="34"/>
        <v>0.1</v>
      </c>
      <c r="O41" s="90">
        <f t="shared" si="34"/>
        <v>0.1</v>
      </c>
      <c r="P41" s="90">
        <f t="shared" si="34"/>
        <v>0.1</v>
      </c>
    </row>
    <row r="42" ht="15.75" customHeight="1">
      <c r="A42" s="104" t="s">
        <v>301</v>
      </c>
      <c r="D42" s="211"/>
      <c r="E42" s="80">
        <f t="shared" ref="E42:P42" si="35">E41*E9</f>
        <v>0.8</v>
      </c>
      <c r="F42" s="80">
        <f t="shared" si="35"/>
        <v>0.96</v>
      </c>
      <c r="G42" s="80">
        <f t="shared" si="35"/>
        <v>1.088</v>
      </c>
      <c r="H42" s="80">
        <f t="shared" si="35"/>
        <v>1.28</v>
      </c>
      <c r="I42" s="80">
        <f t="shared" si="35"/>
        <v>1.408</v>
      </c>
      <c r="J42" s="80">
        <f t="shared" si="35"/>
        <v>1.6</v>
      </c>
      <c r="K42" s="80">
        <f t="shared" si="35"/>
        <v>1.728</v>
      </c>
      <c r="L42" s="80">
        <f t="shared" si="35"/>
        <v>1.92</v>
      </c>
      <c r="M42" s="80">
        <f t="shared" si="35"/>
        <v>1.92</v>
      </c>
      <c r="N42" s="80">
        <f t="shared" si="35"/>
        <v>1.92</v>
      </c>
      <c r="O42" s="80">
        <f t="shared" si="35"/>
        <v>1.92</v>
      </c>
      <c r="P42" s="80">
        <f t="shared" si="35"/>
        <v>1.92</v>
      </c>
    </row>
    <row r="43" ht="15.75" customHeight="1">
      <c r="A43" s="104" t="s">
        <v>302</v>
      </c>
      <c r="D43" s="211"/>
      <c r="E43" s="80">
        <v>0.0</v>
      </c>
      <c r="F43" s="80">
        <v>0.0</v>
      </c>
      <c r="G43" s="80">
        <v>0.0</v>
      </c>
      <c r="H43" s="80">
        <v>0.0</v>
      </c>
      <c r="I43" s="80">
        <v>0.0</v>
      </c>
      <c r="J43" s="80">
        <f t="shared" ref="J43:P43" si="36">J42+I43</f>
        <v>1.6</v>
      </c>
      <c r="K43" s="80">
        <f t="shared" si="36"/>
        <v>3.328</v>
      </c>
      <c r="L43" s="80">
        <f t="shared" si="36"/>
        <v>5.248</v>
      </c>
      <c r="M43" s="80">
        <f t="shared" si="36"/>
        <v>7.168</v>
      </c>
      <c r="N43" s="80">
        <f t="shared" si="36"/>
        <v>9.088</v>
      </c>
      <c r="O43" s="80">
        <f t="shared" si="36"/>
        <v>11.008</v>
      </c>
      <c r="P43" s="80">
        <f t="shared" si="36"/>
        <v>12.928</v>
      </c>
    </row>
    <row r="44" ht="15.75" customHeight="1">
      <c r="A44" s="315" t="s">
        <v>304</v>
      </c>
      <c r="B44" s="316"/>
      <c r="C44" s="316"/>
      <c r="D44" s="317"/>
      <c r="E44" s="318">
        <f t="shared" ref="E44:I44" si="37">B43*B40</f>
        <v>0</v>
      </c>
      <c r="F44" s="318">
        <f t="shared" si="37"/>
        <v>0</v>
      </c>
      <c r="G44" s="318">
        <f t="shared" si="37"/>
        <v>0</v>
      </c>
      <c r="H44" s="318">
        <f t="shared" si="37"/>
        <v>0</v>
      </c>
      <c r="I44" s="318">
        <f t="shared" si="37"/>
        <v>0</v>
      </c>
      <c r="J44" s="318">
        <f t="shared" ref="J44:S44" si="38">J43*J40</f>
        <v>320</v>
      </c>
      <c r="K44" s="318">
        <f t="shared" si="38"/>
        <v>665.6</v>
      </c>
      <c r="L44" s="318">
        <f t="shared" si="38"/>
        <v>1049.6</v>
      </c>
      <c r="M44" s="318">
        <f t="shared" si="38"/>
        <v>1433.6</v>
      </c>
      <c r="N44" s="318">
        <f t="shared" si="38"/>
        <v>1817.6</v>
      </c>
      <c r="O44" s="318">
        <f t="shared" si="38"/>
        <v>2201.6</v>
      </c>
      <c r="P44" s="318">
        <f t="shared" si="38"/>
        <v>2585.6</v>
      </c>
      <c r="Q44" s="318">
        <f t="shared" si="38"/>
        <v>0</v>
      </c>
      <c r="R44" s="318">
        <f t="shared" si="38"/>
        <v>0</v>
      </c>
      <c r="S44" s="318">
        <f t="shared" si="38"/>
        <v>0</v>
      </c>
      <c r="T44" s="316"/>
      <c r="U44" s="316"/>
      <c r="V44" s="316"/>
      <c r="W44" s="316"/>
      <c r="X44" s="316"/>
      <c r="Y44" s="316"/>
      <c r="Z44" s="316"/>
    </row>
    <row r="45" ht="15.75" customHeight="1">
      <c r="A45" s="104" t="s">
        <v>305</v>
      </c>
      <c r="D45" s="211"/>
      <c r="E45" s="154">
        <f t="shared" ref="E45:H45" si="39">E44</f>
        <v>0</v>
      </c>
      <c r="F45" s="154">
        <f t="shared" si="39"/>
        <v>0</v>
      </c>
      <c r="G45" s="154">
        <f t="shared" si="39"/>
        <v>0</v>
      </c>
      <c r="H45" s="154">
        <f t="shared" si="39"/>
        <v>0</v>
      </c>
      <c r="I45" s="154">
        <f t="shared" ref="I45:S45" si="40">I44+H45</f>
        <v>0</v>
      </c>
      <c r="J45" s="154">
        <f t="shared" si="40"/>
        <v>320</v>
      </c>
      <c r="K45" s="154">
        <f t="shared" si="40"/>
        <v>985.6</v>
      </c>
      <c r="L45" s="154">
        <f t="shared" si="40"/>
        <v>2035.2</v>
      </c>
      <c r="M45" s="154">
        <f t="shared" si="40"/>
        <v>3468.8</v>
      </c>
      <c r="N45" s="154">
        <f t="shared" si="40"/>
        <v>5286.4</v>
      </c>
      <c r="O45" s="154">
        <f t="shared" si="40"/>
        <v>7488</v>
      </c>
      <c r="P45" s="154">
        <f t="shared" si="40"/>
        <v>10073.6</v>
      </c>
      <c r="Q45" s="154">
        <f t="shared" si="40"/>
        <v>10073.6</v>
      </c>
      <c r="R45" s="154">
        <f t="shared" si="40"/>
        <v>10073.6</v>
      </c>
      <c r="S45" s="154">
        <f t="shared" si="40"/>
        <v>10073.6</v>
      </c>
    </row>
    <row r="46" ht="15.75" customHeight="1">
      <c r="A46" s="104" t="s">
        <v>51</v>
      </c>
      <c r="D46" s="175">
        <f>3000+3*1500+5000</f>
        <v>12500</v>
      </c>
      <c r="E46" s="80"/>
      <c r="F46" s="80"/>
      <c r="G46" s="80"/>
      <c r="H46" s="154"/>
      <c r="I46" s="154"/>
      <c r="J46" s="154">
        <f t="shared" ref="J46:S46" si="41">$D$46*J42</f>
        <v>20000</v>
      </c>
      <c r="K46" s="154">
        <f t="shared" si="41"/>
        <v>21600</v>
      </c>
      <c r="L46" s="154">
        <f t="shared" si="41"/>
        <v>24000</v>
      </c>
      <c r="M46" s="154">
        <f t="shared" si="41"/>
        <v>24000</v>
      </c>
      <c r="N46" s="154">
        <f t="shared" si="41"/>
        <v>24000</v>
      </c>
      <c r="O46" s="154">
        <f t="shared" si="41"/>
        <v>24000</v>
      </c>
      <c r="P46" s="154">
        <f t="shared" si="41"/>
        <v>24000</v>
      </c>
      <c r="Q46" s="154">
        <f t="shared" si="41"/>
        <v>0</v>
      </c>
      <c r="R46" s="154">
        <f t="shared" si="41"/>
        <v>0</v>
      </c>
      <c r="S46" s="154">
        <f t="shared" si="41"/>
        <v>0</v>
      </c>
    </row>
    <row r="47" ht="15.75" customHeight="1">
      <c r="A47" s="320" t="s">
        <v>308</v>
      </c>
      <c r="B47" s="306"/>
      <c r="C47" s="306"/>
      <c r="D47" s="321">
        <v>0.5</v>
      </c>
      <c r="E47" s="292">
        <f t="shared" ref="E47:S47" si="42">$D47*E46</f>
        <v>0</v>
      </c>
      <c r="F47" s="292">
        <f t="shared" si="42"/>
        <v>0</v>
      </c>
      <c r="G47" s="292">
        <f t="shared" si="42"/>
        <v>0</v>
      </c>
      <c r="H47" s="292">
        <f t="shared" si="42"/>
        <v>0</v>
      </c>
      <c r="I47" s="292">
        <f t="shared" si="42"/>
        <v>0</v>
      </c>
      <c r="J47" s="292">
        <f t="shared" si="42"/>
        <v>10000</v>
      </c>
      <c r="K47" s="292">
        <f t="shared" si="42"/>
        <v>10800</v>
      </c>
      <c r="L47" s="292">
        <f t="shared" si="42"/>
        <v>12000</v>
      </c>
      <c r="M47" s="292">
        <f t="shared" si="42"/>
        <v>12000</v>
      </c>
      <c r="N47" s="292">
        <f t="shared" si="42"/>
        <v>12000</v>
      </c>
      <c r="O47" s="292">
        <f t="shared" si="42"/>
        <v>12000</v>
      </c>
      <c r="P47" s="292">
        <f t="shared" si="42"/>
        <v>12000</v>
      </c>
      <c r="Q47" s="292">
        <f t="shared" si="42"/>
        <v>0</v>
      </c>
      <c r="R47" s="292">
        <f t="shared" si="42"/>
        <v>0</v>
      </c>
      <c r="S47" s="292">
        <f t="shared" si="42"/>
        <v>0</v>
      </c>
      <c r="T47" s="306"/>
      <c r="U47" s="306"/>
      <c r="V47" s="306"/>
      <c r="W47" s="306"/>
      <c r="X47" s="306"/>
      <c r="Y47" s="306"/>
      <c r="Z47" s="306"/>
    </row>
    <row r="48" ht="15.75" customHeight="1">
      <c r="A48" s="320" t="s">
        <v>309</v>
      </c>
      <c r="B48" s="306"/>
      <c r="C48" s="306"/>
      <c r="D48" s="321">
        <v>0.7</v>
      </c>
      <c r="E48" s="292">
        <f t="shared" ref="E48:S48" si="43">$D48*E44</f>
        <v>0</v>
      </c>
      <c r="F48" s="292">
        <f t="shared" si="43"/>
        <v>0</v>
      </c>
      <c r="G48" s="292">
        <f t="shared" si="43"/>
        <v>0</v>
      </c>
      <c r="H48" s="292">
        <f t="shared" si="43"/>
        <v>0</v>
      </c>
      <c r="I48" s="292">
        <f t="shared" si="43"/>
        <v>0</v>
      </c>
      <c r="J48" s="292">
        <f t="shared" si="43"/>
        <v>224</v>
      </c>
      <c r="K48" s="292">
        <f t="shared" si="43"/>
        <v>465.92</v>
      </c>
      <c r="L48" s="292">
        <f t="shared" si="43"/>
        <v>734.72</v>
      </c>
      <c r="M48" s="292">
        <f t="shared" si="43"/>
        <v>1003.52</v>
      </c>
      <c r="N48" s="292">
        <f t="shared" si="43"/>
        <v>1272.32</v>
      </c>
      <c r="O48" s="292">
        <f t="shared" si="43"/>
        <v>1541.12</v>
      </c>
      <c r="P48" s="292">
        <f t="shared" si="43"/>
        <v>1809.92</v>
      </c>
      <c r="Q48" s="292">
        <f t="shared" si="43"/>
        <v>0</v>
      </c>
      <c r="R48" s="292">
        <f t="shared" si="43"/>
        <v>0</v>
      </c>
      <c r="S48" s="292">
        <f t="shared" si="43"/>
        <v>0</v>
      </c>
      <c r="T48" s="306"/>
      <c r="U48" s="306"/>
      <c r="V48" s="306"/>
      <c r="W48" s="306"/>
      <c r="X48" s="306"/>
      <c r="Y48" s="306"/>
      <c r="Z48" s="306"/>
    </row>
    <row r="49" ht="15.75" customHeight="1">
      <c r="A49" s="320" t="s">
        <v>310</v>
      </c>
      <c r="B49" s="306"/>
      <c r="C49" s="306"/>
      <c r="D49" s="321">
        <v>0.75</v>
      </c>
      <c r="E49" s="292">
        <f t="shared" ref="E49:S49" si="44">$D49*E36</f>
        <v>0</v>
      </c>
      <c r="F49" s="292">
        <f t="shared" si="44"/>
        <v>0</v>
      </c>
      <c r="G49" s="292">
        <f t="shared" si="44"/>
        <v>0</v>
      </c>
      <c r="H49" s="292">
        <f t="shared" si="44"/>
        <v>192</v>
      </c>
      <c r="I49" s="292">
        <f t="shared" si="44"/>
        <v>403.2</v>
      </c>
      <c r="J49" s="292">
        <f t="shared" si="44"/>
        <v>643.2</v>
      </c>
      <c r="K49" s="292">
        <f t="shared" si="44"/>
        <v>902.4</v>
      </c>
      <c r="L49" s="292">
        <f t="shared" si="44"/>
        <v>1190.4</v>
      </c>
      <c r="M49" s="292">
        <f t="shared" si="44"/>
        <v>1478.4</v>
      </c>
      <c r="N49" s="292">
        <f t="shared" si="44"/>
        <v>1766.4</v>
      </c>
      <c r="O49" s="292">
        <f t="shared" si="44"/>
        <v>2054.4</v>
      </c>
      <c r="P49" s="292">
        <f t="shared" si="44"/>
        <v>2342.4</v>
      </c>
      <c r="Q49" s="292">
        <f t="shared" si="44"/>
        <v>0</v>
      </c>
      <c r="R49" s="292">
        <f t="shared" si="44"/>
        <v>0</v>
      </c>
      <c r="S49" s="292">
        <f t="shared" si="44"/>
        <v>0</v>
      </c>
      <c r="T49" s="306"/>
      <c r="U49" s="306"/>
      <c r="V49" s="306"/>
      <c r="W49" s="306"/>
      <c r="X49" s="306"/>
      <c r="Y49" s="306"/>
      <c r="Z49" s="306"/>
    </row>
    <row r="50" ht="15.75" customHeight="1">
      <c r="A50" s="206" t="s">
        <v>311</v>
      </c>
      <c r="B50" s="299"/>
      <c r="C50" s="298">
        <f t="shared" ref="C50:C51" si="46">SUM(E50:P50)</f>
        <v>186304</v>
      </c>
      <c r="D50" s="322">
        <f t="shared" ref="D50:D51" si="47">AVERAGE(E50:P50)</f>
        <v>15525.33333</v>
      </c>
      <c r="E50" s="322">
        <f t="shared" ref="E50:S50" si="45">E46+E44+E36</f>
        <v>0</v>
      </c>
      <c r="F50" s="322">
        <f t="shared" si="45"/>
        <v>0</v>
      </c>
      <c r="G50" s="322">
        <f t="shared" si="45"/>
        <v>0</v>
      </c>
      <c r="H50" s="322">
        <f t="shared" si="45"/>
        <v>256</v>
      </c>
      <c r="I50" s="322">
        <f t="shared" si="45"/>
        <v>537.6</v>
      </c>
      <c r="J50" s="322">
        <f t="shared" si="45"/>
        <v>21177.6</v>
      </c>
      <c r="K50" s="322">
        <f t="shared" si="45"/>
        <v>23468.8</v>
      </c>
      <c r="L50" s="322">
        <f t="shared" si="45"/>
        <v>26636.8</v>
      </c>
      <c r="M50" s="322">
        <f t="shared" si="45"/>
        <v>27404.8</v>
      </c>
      <c r="N50" s="322">
        <f t="shared" si="45"/>
        <v>28172.8</v>
      </c>
      <c r="O50" s="322">
        <f t="shared" si="45"/>
        <v>28940.8</v>
      </c>
      <c r="P50" s="322">
        <f t="shared" si="45"/>
        <v>29708.8</v>
      </c>
      <c r="Q50" s="322">
        <f t="shared" si="45"/>
        <v>0</v>
      </c>
      <c r="R50" s="322">
        <f t="shared" si="45"/>
        <v>0</v>
      </c>
      <c r="S50" s="322">
        <f t="shared" si="45"/>
        <v>0</v>
      </c>
      <c r="T50" s="298"/>
      <c r="U50" s="299"/>
      <c r="V50" s="299"/>
      <c r="W50" s="299"/>
      <c r="X50" s="299"/>
      <c r="Y50" s="299"/>
      <c r="Z50" s="299"/>
    </row>
    <row r="51" ht="15.75" customHeight="1">
      <c r="A51" s="323" t="s">
        <v>312</v>
      </c>
      <c r="B51" s="311"/>
      <c r="C51" s="296">
        <f t="shared" si="46"/>
        <v>98824.32</v>
      </c>
      <c r="D51" s="158">
        <f t="shared" si="47"/>
        <v>8235.36</v>
      </c>
      <c r="E51" s="324">
        <f t="shared" ref="E51:S51" si="48">E49+E48+E47</f>
        <v>0</v>
      </c>
      <c r="F51" s="158">
        <f t="shared" si="48"/>
        <v>0</v>
      </c>
      <c r="G51" s="158">
        <f t="shared" si="48"/>
        <v>0</v>
      </c>
      <c r="H51" s="158">
        <f t="shared" si="48"/>
        <v>192</v>
      </c>
      <c r="I51" s="158">
        <f t="shared" si="48"/>
        <v>403.2</v>
      </c>
      <c r="J51" s="158">
        <f t="shared" si="48"/>
        <v>10867.2</v>
      </c>
      <c r="K51" s="158">
        <f t="shared" si="48"/>
        <v>12168.32</v>
      </c>
      <c r="L51" s="158">
        <f t="shared" si="48"/>
        <v>13925.12</v>
      </c>
      <c r="M51" s="158">
        <f t="shared" si="48"/>
        <v>14481.92</v>
      </c>
      <c r="N51" s="158">
        <f t="shared" si="48"/>
        <v>15038.72</v>
      </c>
      <c r="O51" s="158">
        <f t="shared" si="48"/>
        <v>15595.52</v>
      </c>
      <c r="P51" s="158">
        <f t="shared" si="48"/>
        <v>16152.32</v>
      </c>
      <c r="Q51" s="158">
        <f t="shared" si="48"/>
        <v>0</v>
      </c>
      <c r="R51" s="158">
        <f t="shared" si="48"/>
        <v>0</v>
      </c>
      <c r="S51" s="158">
        <f t="shared" si="48"/>
        <v>0</v>
      </c>
    </row>
    <row r="52" ht="15.75" customHeight="1">
      <c r="A52" s="164"/>
      <c r="B52" s="325"/>
      <c r="C52" s="88"/>
      <c r="D52" s="80"/>
      <c r="E52" s="207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</row>
    <row r="53" ht="15.75" customHeight="1">
      <c r="E53" s="164"/>
      <c r="L53" s="88"/>
      <c r="M53" s="88"/>
      <c r="N53" s="88"/>
    </row>
    <row r="54" ht="15.75" customHeight="1">
      <c r="A54" s="326" t="s">
        <v>218</v>
      </c>
      <c r="B54" s="327"/>
      <c r="C54" s="327"/>
      <c r="D54" s="327"/>
      <c r="E54" s="328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27"/>
      <c r="X54" s="327"/>
      <c r="Y54" s="327"/>
      <c r="Z54" s="327"/>
    </row>
    <row r="55" ht="15.75" customHeight="1">
      <c r="A55" s="79" t="s">
        <v>219</v>
      </c>
      <c r="B55" s="87" t="s">
        <v>40</v>
      </c>
      <c r="C55" s="87" t="s">
        <v>217</v>
      </c>
      <c r="D55" s="79" t="s">
        <v>94</v>
      </c>
      <c r="E55" s="82"/>
    </row>
    <row r="56" ht="15.75" customHeight="1">
      <c r="A56" s="79" t="s">
        <v>313</v>
      </c>
      <c r="B56" s="154">
        <v>110000.0</v>
      </c>
      <c r="C56" s="80">
        <v>6.0</v>
      </c>
      <c r="D56" s="404">
        <v>0.15</v>
      </c>
      <c r="E56" s="82"/>
    </row>
    <row r="57" ht="15.75" customHeight="1">
      <c r="A57" s="79" t="s">
        <v>314</v>
      </c>
      <c r="D57" s="134" t="s">
        <v>167</v>
      </c>
      <c r="E57" s="332">
        <f t="shared" ref="E57:S57" si="49">$D$56*E9</f>
        <v>1.2</v>
      </c>
      <c r="F57" s="333">
        <f t="shared" si="49"/>
        <v>1.44</v>
      </c>
      <c r="G57" s="333">
        <f t="shared" si="49"/>
        <v>1.632</v>
      </c>
      <c r="H57" s="333">
        <f t="shared" si="49"/>
        <v>1.92</v>
      </c>
      <c r="I57" s="333">
        <f t="shared" si="49"/>
        <v>2.112</v>
      </c>
      <c r="J57" s="333">
        <f t="shared" si="49"/>
        <v>2.4</v>
      </c>
      <c r="K57" s="333">
        <f t="shared" si="49"/>
        <v>2.592</v>
      </c>
      <c r="L57" s="333">
        <f t="shared" si="49"/>
        <v>2.88</v>
      </c>
      <c r="M57" s="333">
        <f t="shared" si="49"/>
        <v>2.88</v>
      </c>
      <c r="N57" s="333">
        <f t="shared" si="49"/>
        <v>2.88</v>
      </c>
      <c r="O57" s="333">
        <f t="shared" si="49"/>
        <v>2.88</v>
      </c>
      <c r="P57" s="333">
        <f t="shared" si="49"/>
        <v>2.88</v>
      </c>
      <c r="Q57" s="333">
        <f t="shared" si="49"/>
        <v>0</v>
      </c>
      <c r="R57" s="333">
        <f t="shared" si="49"/>
        <v>0</v>
      </c>
      <c r="S57" s="333">
        <f t="shared" si="49"/>
        <v>0</v>
      </c>
    </row>
    <row r="58" ht="15.75" customHeight="1">
      <c r="A58" s="299" t="s">
        <v>315</v>
      </c>
      <c r="B58" s="334" t="s">
        <v>244</v>
      </c>
      <c r="C58" s="335">
        <f>SUM(E58:P58)</f>
        <v>507760</v>
      </c>
      <c r="D58" s="298">
        <f>B56/C56</f>
        <v>18333.33333</v>
      </c>
      <c r="E58" s="336">
        <f t="shared" ref="E58:S58" si="50">E57*$D$58</f>
        <v>22000</v>
      </c>
      <c r="F58" s="336">
        <f t="shared" si="50"/>
        <v>26400</v>
      </c>
      <c r="G58" s="336">
        <f t="shared" si="50"/>
        <v>29920</v>
      </c>
      <c r="H58" s="336">
        <f t="shared" si="50"/>
        <v>35200</v>
      </c>
      <c r="I58" s="336">
        <f t="shared" si="50"/>
        <v>38720</v>
      </c>
      <c r="J58" s="336">
        <f t="shared" si="50"/>
        <v>44000</v>
      </c>
      <c r="K58" s="336">
        <f t="shared" si="50"/>
        <v>47520</v>
      </c>
      <c r="L58" s="336">
        <f t="shared" si="50"/>
        <v>52800</v>
      </c>
      <c r="M58" s="336">
        <f t="shared" si="50"/>
        <v>52800</v>
      </c>
      <c r="N58" s="336">
        <f t="shared" si="50"/>
        <v>52800</v>
      </c>
      <c r="O58" s="336">
        <f t="shared" si="50"/>
        <v>52800</v>
      </c>
      <c r="P58" s="336">
        <f t="shared" si="50"/>
        <v>52800</v>
      </c>
      <c r="Q58" s="336">
        <f t="shared" si="50"/>
        <v>0</v>
      </c>
      <c r="R58" s="336">
        <f t="shared" si="50"/>
        <v>0</v>
      </c>
      <c r="S58" s="336">
        <f t="shared" si="50"/>
        <v>0</v>
      </c>
      <c r="T58" s="299"/>
      <c r="U58" s="299"/>
      <c r="V58" s="299"/>
      <c r="W58" s="299"/>
      <c r="X58" s="299"/>
      <c r="Y58" s="299"/>
      <c r="Z58" s="299"/>
    </row>
    <row r="59" ht="15.75" customHeight="1">
      <c r="A59" s="79" t="s">
        <v>254</v>
      </c>
      <c r="D59" s="104"/>
      <c r="E59" s="405">
        <f t="shared" ref="E59:S59" si="51">E58/4</f>
        <v>5500</v>
      </c>
      <c r="F59" s="337">
        <f t="shared" si="51"/>
        <v>6600</v>
      </c>
      <c r="G59" s="337">
        <f t="shared" si="51"/>
        <v>7480</v>
      </c>
      <c r="H59" s="337">
        <f t="shared" si="51"/>
        <v>8800</v>
      </c>
      <c r="I59" s="337">
        <f t="shared" si="51"/>
        <v>9680</v>
      </c>
      <c r="J59" s="337">
        <f t="shared" si="51"/>
        <v>11000</v>
      </c>
      <c r="K59" s="337">
        <f t="shared" si="51"/>
        <v>11880</v>
      </c>
      <c r="L59" s="337">
        <f t="shared" si="51"/>
        <v>13200</v>
      </c>
      <c r="M59" s="337">
        <f t="shared" si="51"/>
        <v>13200</v>
      </c>
      <c r="N59" s="337">
        <f t="shared" si="51"/>
        <v>13200</v>
      </c>
      <c r="O59" s="337">
        <f t="shared" si="51"/>
        <v>13200</v>
      </c>
      <c r="P59" s="337">
        <f t="shared" si="51"/>
        <v>13200</v>
      </c>
      <c r="Q59" s="337">
        <f t="shared" si="51"/>
        <v>0</v>
      </c>
      <c r="R59" s="337">
        <f t="shared" si="51"/>
        <v>0</v>
      </c>
      <c r="S59" s="337">
        <f t="shared" si="51"/>
        <v>0</v>
      </c>
    </row>
    <row r="60" ht="15.75" customHeight="1">
      <c r="A60" s="79" t="s">
        <v>256</v>
      </c>
      <c r="D60" s="104"/>
      <c r="E60" s="337"/>
      <c r="F60" s="405">
        <f t="shared" ref="F60:S60" si="52">E59</f>
        <v>5500</v>
      </c>
      <c r="G60" s="337">
        <f t="shared" si="52"/>
        <v>6600</v>
      </c>
      <c r="H60" s="337">
        <f t="shared" si="52"/>
        <v>7480</v>
      </c>
      <c r="I60" s="337">
        <f t="shared" si="52"/>
        <v>8800</v>
      </c>
      <c r="J60" s="337">
        <f t="shared" si="52"/>
        <v>9680</v>
      </c>
      <c r="K60" s="337">
        <f t="shared" si="52"/>
        <v>11000</v>
      </c>
      <c r="L60" s="337">
        <f t="shared" si="52"/>
        <v>11880</v>
      </c>
      <c r="M60" s="337">
        <f t="shared" si="52"/>
        <v>13200</v>
      </c>
      <c r="N60" s="337">
        <f t="shared" si="52"/>
        <v>13200</v>
      </c>
      <c r="O60" s="337">
        <f t="shared" si="52"/>
        <v>13200</v>
      </c>
      <c r="P60" s="337">
        <f t="shared" si="52"/>
        <v>13200</v>
      </c>
      <c r="Q60" s="337">
        <f t="shared" si="52"/>
        <v>13200</v>
      </c>
      <c r="R60" s="337">
        <f t="shared" si="52"/>
        <v>0</v>
      </c>
      <c r="S60" s="337">
        <f t="shared" si="52"/>
        <v>0</v>
      </c>
    </row>
    <row r="61" ht="15.75" customHeight="1">
      <c r="A61" s="79" t="s">
        <v>258</v>
      </c>
      <c r="D61" s="104"/>
      <c r="E61" s="337"/>
      <c r="F61" s="337"/>
      <c r="G61" s="405">
        <f t="shared" ref="G61:S61" si="53">F60</f>
        <v>5500</v>
      </c>
      <c r="H61" s="337">
        <f t="shared" si="53"/>
        <v>6600</v>
      </c>
      <c r="I61" s="337">
        <f t="shared" si="53"/>
        <v>7480</v>
      </c>
      <c r="J61" s="337">
        <f t="shared" si="53"/>
        <v>8800</v>
      </c>
      <c r="K61" s="337">
        <f t="shared" si="53"/>
        <v>9680</v>
      </c>
      <c r="L61" s="337">
        <f t="shared" si="53"/>
        <v>11000</v>
      </c>
      <c r="M61" s="337">
        <f t="shared" si="53"/>
        <v>11880</v>
      </c>
      <c r="N61" s="337">
        <f t="shared" si="53"/>
        <v>13200</v>
      </c>
      <c r="O61" s="337">
        <f t="shared" si="53"/>
        <v>13200</v>
      </c>
      <c r="P61" s="337">
        <f t="shared" si="53"/>
        <v>13200</v>
      </c>
      <c r="Q61" s="337">
        <f t="shared" si="53"/>
        <v>13200</v>
      </c>
      <c r="R61" s="337">
        <f t="shared" si="53"/>
        <v>13200</v>
      </c>
      <c r="S61" s="337">
        <f t="shared" si="53"/>
        <v>0</v>
      </c>
    </row>
    <row r="62" ht="15.75" customHeight="1">
      <c r="A62" s="79" t="s">
        <v>259</v>
      </c>
      <c r="D62" s="104"/>
      <c r="E62" s="337"/>
      <c r="F62" s="337"/>
      <c r="G62" s="337"/>
      <c r="H62" s="405">
        <f t="shared" ref="H62:S62" si="54">G61</f>
        <v>5500</v>
      </c>
      <c r="I62" s="337">
        <f t="shared" si="54"/>
        <v>6600</v>
      </c>
      <c r="J62" s="337">
        <f t="shared" si="54"/>
        <v>7480</v>
      </c>
      <c r="K62" s="337">
        <f t="shared" si="54"/>
        <v>8800</v>
      </c>
      <c r="L62" s="337">
        <f t="shared" si="54"/>
        <v>9680</v>
      </c>
      <c r="M62" s="337">
        <f t="shared" si="54"/>
        <v>11000</v>
      </c>
      <c r="N62" s="337">
        <f t="shared" si="54"/>
        <v>11880</v>
      </c>
      <c r="O62" s="337">
        <f t="shared" si="54"/>
        <v>13200</v>
      </c>
      <c r="P62" s="337">
        <f t="shared" si="54"/>
        <v>13200</v>
      </c>
      <c r="Q62" s="337">
        <f t="shared" si="54"/>
        <v>13200</v>
      </c>
      <c r="R62" s="337">
        <f t="shared" si="54"/>
        <v>13200</v>
      </c>
      <c r="S62" s="337">
        <f t="shared" si="54"/>
        <v>13200</v>
      </c>
    </row>
    <row r="63" ht="15.75" customHeight="1">
      <c r="A63" s="79" t="s">
        <v>316</v>
      </c>
      <c r="C63" s="135"/>
      <c r="D63" s="104"/>
      <c r="E63" s="337">
        <f t="shared" ref="E63:S63" si="55">SUM(E59:E62)</f>
        <v>5500</v>
      </c>
      <c r="F63" s="337">
        <f t="shared" si="55"/>
        <v>12100</v>
      </c>
      <c r="G63" s="337">
        <f t="shared" si="55"/>
        <v>19580</v>
      </c>
      <c r="H63" s="337">
        <f t="shared" si="55"/>
        <v>28380</v>
      </c>
      <c r="I63" s="337">
        <f t="shared" si="55"/>
        <v>32560</v>
      </c>
      <c r="J63" s="337">
        <f t="shared" si="55"/>
        <v>36960</v>
      </c>
      <c r="K63" s="337">
        <f t="shared" si="55"/>
        <v>41360</v>
      </c>
      <c r="L63" s="337">
        <f t="shared" si="55"/>
        <v>45760</v>
      </c>
      <c r="M63" s="337">
        <f t="shared" si="55"/>
        <v>49280</v>
      </c>
      <c r="N63" s="337">
        <f t="shared" si="55"/>
        <v>51480</v>
      </c>
      <c r="O63" s="337">
        <f t="shared" si="55"/>
        <v>52800</v>
      </c>
      <c r="P63" s="337">
        <f t="shared" si="55"/>
        <v>52800</v>
      </c>
      <c r="Q63" s="337">
        <f t="shared" si="55"/>
        <v>39600</v>
      </c>
      <c r="R63" s="337">
        <f t="shared" si="55"/>
        <v>26400</v>
      </c>
      <c r="S63" s="337">
        <f t="shared" si="55"/>
        <v>13200</v>
      </c>
    </row>
    <row r="64" ht="15.75" customHeight="1">
      <c r="A64" s="79" t="s">
        <v>317</v>
      </c>
      <c r="D64" s="155">
        <v>0.45</v>
      </c>
      <c r="E64" s="337">
        <f t="shared" ref="E64:S64" si="56">E58*$D$64</f>
        <v>9900</v>
      </c>
      <c r="F64" s="337">
        <f t="shared" si="56"/>
        <v>11880</v>
      </c>
      <c r="G64" s="337">
        <f t="shared" si="56"/>
        <v>13464</v>
      </c>
      <c r="H64" s="337">
        <f t="shared" si="56"/>
        <v>15840</v>
      </c>
      <c r="I64" s="337">
        <f t="shared" si="56"/>
        <v>17424</v>
      </c>
      <c r="J64" s="337">
        <f t="shared" si="56"/>
        <v>19800</v>
      </c>
      <c r="K64" s="337">
        <f t="shared" si="56"/>
        <v>21384</v>
      </c>
      <c r="L64" s="337">
        <f t="shared" si="56"/>
        <v>23760</v>
      </c>
      <c r="M64" s="337">
        <f t="shared" si="56"/>
        <v>23760</v>
      </c>
      <c r="N64" s="337">
        <f t="shared" si="56"/>
        <v>23760</v>
      </c>
      <c r="O64" s="337">
        <f t="shared" si="56"/>
        <v>23760</v>
      </c>
      <c r="P64" s="337">
        <f t="shared" si="56"/>
        <v>23760</v>
      </c>
      <c r="Q64" s="337">
        <f t="shared" si="56"/>
        <v>0</v>
      </c>
      <c r="R64" s="337">
        <f t="shared" si="56"/>
        <v>0</v>
      </c>
      <c r="S64" s="337">
        <f t="shared" si="56"/>
        <v>0</v>
      </c>
    </row>
    <row r="65" ht="15.75" customHeight="1">
      <c r="A65" s="79" t="s">
        <v>318</v>
      </c>
      <c r="D65" s="104"/>
      <c r="E65" s="337">
        <f t="shared" ref="E65:S65" si="57">E63-E64</f>
        <v>-4400</v>
      </c>
      <c r="F65" s="337">
        <f t="shared" si="57"/>
        <v>220</v>
      </c>
      <c r="G65" s="337">
        <f t="shared" si="57"/>
        <v>6116</v>
      </c>
      <c r="H65" s="337">
        <f t="shared" si="57"/>
        <v>12540</v>
      </c>
      <c r="I65" s="337">
        <f t="shared" si="57"/>
        <v>15136</v>
      </c>
      <c r="J65" s="337">
        <f t="shared" si="57"/>
        <v>17160</v>
      </c>
      <c r="K65" s="337">
        <f t="shared" si="57"/>
        <v>19976</v>
      </c>
      <c r="L65" s="337">
        <f t="shared" si="57"/>
        <v>22000</v>
      </c>
      <c r="M65" s="337">
        <f t="shared" si="57"/>
        <v>25520</v>
      </c>
      <c r="N65" s="337">
        <f t="shared" si="57"/>
        <v>27720</v>
      </c>
      <c r="O65" s="337">
        <f t="shared" si="57"/>
        <v>29040</v>
      </c>
      <c r="P65" s="337">
        <f t="shared" si="57"/>
        <v>29040</v>
      </c>
      <c r="Q65" s="337">
        <f t="shared" si="57"/>
        <v>39600</v>
      </c>
      <c r="R65" s="337">
        <f t="shared" si="57"/>
        <v>26400</v>
      </c>
      <c r="S65" s="337">
        <f t="shared" si="57"/>
        <v>13200</v>
      </c>
    </row>
    <row r="66" ht="15.75" customHeight="1">
      <c r="A66" s="79" t="s">
        <v>319</v>
      </c>
      <c r="B66" s="79" t="s">
        <v>320</v>
      </c>
      <c r="C66" s="88">
        <f>P66</f>
        <v>200068</v>
      </c>
      <c r="D66" s="104"/>
      <c r="E66" s="337">
        <f>E65</f>
        <v>-4400</v>
      </c>
      <c r="F66" s="88">
        <f t="shared" ref="F66:S66" si="58">F65+E66</f>
        <v>-4180</v>
      </c>
      <c r="G66" s="88">
        <f t="shared" si="58"/>
        <v>1936</v>
      </c>
      <c r="H66" s="88">
        <f t="shared" si="58"/>
        <v>14476</v>
      </c>
      <c r="I66" s="88">
        <f t="shared" si="58"/>
        <v>29612</v>
      </c>
      <c r="J66" s="88">
        <f t="shared" si="58"/>
        <v>46772</v>
      </c>
      <c r="K66" s="88">
        <f t="shared" si="58"/>
        <v>66748</v>
      </c>
      <c r="L66" s="88">
        <f t="shared" si="58"/>
        <v>88748</v>
      </c>
      <c r="M66" s="88">
        <f t="shared" si="58"/>
        <v>114268</v>
      </c>
      <c r="N66" s="88">
        <f t="shared" si="58"/>
        <v>141988</v>
      </c>
      <c r="O66" s="88">
        <f t="shared" si="58"/>
        <v>171028</v>
      </c>
      <c r="P66" s="88">
        <f t="shared" si="58"/>
        <v>200068</v>
      </c>
      <c r="Q66" s="88">
        <f t="shared" si="58"/>
        <v>239668</v>
      </c>
      <c r="R66" s="88">
        <f t="shared" si="58"/>
        <v>266068</v>
      </c>
      <c r="S66" s="88">
        <f t="shared" si="58"/>
        <v>279268</v>
      </c>
    </row>
    <row r="67" ht="15.75" customHeight="1">
      <c r="A67" s="79" t="s">
        <v>321</v>
      </c>
      <c r="D67" s="341">
        <v>0.35</v>
      </c>
      <c r="H67" s="337">
        <f t="shared" ref="H67:S67" si="59">$D$67*E58</f>
        <v>7700</v>
      </c>
      <c r="I67" s="337">
        <f t="shared" si="59"/>
        <v>9240</v>
      </c>
      <c r="J67" s="337">
        <f t="shared" si="59"/>
        <v>10472</v>
      </c>
      <c r="K67" s="337">
        <f t="shared" si="59"/>
        <v>12320</v>
      </c>
      <c r="L67" s="337">
        <f t="shared" si="59"/>
        <v>13552</v>
      </c>
      <c r="M67" s="337">
        <f t="shared" si="59"/>
        <v>15400</v>
      </c>
      <c r="N67" s="337">
        <f t="shared" si="59"/>
        <v>16632</v>
      </c>
      <c r="O67" s="337">
        <f t="shared" si="59"/>
        <v>18480</v>
      </c>
      <c r="P67" s="337">
        <f t="shared" si="59"/>
        <v>18480</v>
      </c>
      <c r="Q67" s="337">
        <f t="shared" si="59"/>
        <v>18480</v>
      </c>
      <c r="R67" s="337">
        <f t="shared" si="59"/>
        <v>18480</v>
      </c>
      <c r="S67" s="337">
        <f t="shared" si="59"/>
        <v>18480</v>
      </c>
    </row>
    <row r="68" ht="15.75" customHeight="1">
      <c r="A68" s="311" t="s">
        <v>322</v>
      </c>
      <c r="B68" s="311"/>
      <c r="C68" s="311"/>
      <c r="D68" s="406">
        <v>0.35</v>
      </c>
      <c r="E68" s="343">
        <f t="shared" ref="E68:S68" si="60">E58*$D$68</f>
        <v>7700</v>
      </c>
      <c r="F68" s="343">
        <f t="shared" si="60"/>
        <v>9240</v>
      </c>
      <c r="G68" s="343">
        <f t="shared" si="60"/>
        <v>10472</v>
      </c>
      <c r="H68" s="343">
        <f t="shared" si="60"/>
        <v>12320</v>
      </c>
      <c r="I68" s="343">
        <f t="shared" si="60"/>
        <v>13552</v>
      </c>
      <c r="J68" s="343">
        <f t="shared" si="60"/>
        <v>15400</v>
      </c>
      <c r="K68" s="343">
        <f t="shared" si="60"/>
        <v>16632</v>
      </c>
      <c r="L68" s="343">
        <f t="shared" si="60"/>
        <v>18480</v>
      </c>
      <c r="M68" s="343">
        <f t="shared" si="60"/>
        <v>18480</v>
      </c>
      <c r="N68" s="343">
        <f t="shared" si="60"/>
        <v>18480</v>
      </c>
      <c r="O68" s="343">
        <f t="shared" si="60"/>
        <v>18480</v>
      </c>
      <c r="P68" s="343">
        <f t="shared" si="60"/>
        <v>18480</v>
      </c>
      <c r="Q68" s="343">
        <f t="shared" si="60"/>
        <v>0</v>
      </c>
      <c r="R68" s="343">
        <f t="shared" si="60"/>
        <v>0</v>
      </c>
      <c r="S68" s="343">
        <f t="shared" si="60"/>
        <v>0</v>
      </c>
      <c r="T68" s="311"/>
      <c r="U68" s="311"/>
      <c r="V68" s="311"/>
      <c r="W68" s="311"/>
      <c r="X68" s="311"/>
      <c r="Y68" s="311"/>
      <c r="Z68" s="311"/>
    </row>
    <row r="69" ht="15.75" customHeight="1">
      <c r="B69" s="82"/>
      <c r="C69" s="164"/>
      <c r="D69" s="104"/>
    </row>
    <row r="70" ht="15.75" hidden="1" customHeight="1">
      <c r="A70" s="334" t="s">
        <v>324</v>
      </c>
      <c r="B70" s="345">
        <f>SUM(E70:P70)</f>
        <v>3432442.761</v>
      </c>
      <c r="C70" s="334" t="s">
        <v>325</v>
      </c>
      <c r="D70" s="346">
        <f>AVERAGE(E70:P70)</f>
        <v>286036.8968</v>
      </c>
      <c r="E70" s="335">
        <f t="shared" ref="E70:P70" si="61">E58+E76</f>
        <v>181391.7871</v>
      </c>
      <c r="F70" s="335">
        <f t="shared" si="61"/>
        <v>181146.6258</v>
      </c>
      <c r="G70" s="335">
        <f t="shared" si="61"/>
        <v>190085.9806</v>
      </c>
      <c r="H70" s="335">
        <f t="shared" si="61"/>
        <v>201450.3677</v>
      </c>
      <c r="I70" s="335">
        <f t="shared" si="61"/>
        <v>219257.6</v>
      </c>
      <c r="J70" s="335">
        <f t="shared" si="61"/>
        <v>272857.6</v>
      </c>
      <c r="K70" s="335">
        <f t="shared" si="61"/>
        <v>305228.8</v>
      </c>
      <c r="L70" s="335">
        <f t="shared" si="61"/>
        <v>344556.8</v>
      </c>
      <c r="M70" s="335">
        <f t="shared" si="61"/>
        <v>367724.8</v>
      </c>
      <c r="N70" s="335">
        <f t="shared" si="61"/>
        <v>382092.8</v>
      </c>
      <c r="O70" s="335">
        <f t="shared" si="61"/>
        <v>392940.8</v>
      </c>
      <c r="P70" s="335">
        <f t="shared" si="61"/>
        <v>393708.8</v>
      </c>
      <c r="Q70" s="334"/>
      <c r="R70" s="334"/>
      <c r="S70" s="334"/>
      <c r="T70" s="334"/>
      <c r="U70" s="334"/>
      <c r="V70" s="334"/>
      <c r="W70" s="334"/>
      <c r="X70" s="334"/>
      <c r="Y70" s="334"/>
      <c r="Z70" s="334"/>
    </row>
    <row r="71" ht="15.75" customHeight="1">
      <c r="B71" s="82"/>
      <c r="C71" s="164"/>
      <c r="D71" s="104"/>
    </row>
    <row r="72" ht="15.75" customHeight="1">
      <c r="B72" s="82"/>
      <c r="C72" s="164"/>
      <c r="D72" s="104"/>
    </row>
    <row r="73" ht="15.75" customHeight="1">
      <c r="B73" s="88"/>
      <c r="D73" s="407"/>
    </row>
    <row r="74" ht="15.75" customHeight="1">
      <c r="B74" s="88"/>
      <c r="D74" s="407"/>
    </row>
    <row r="75" ht="15.75" customHeight="1">
      <c r="C75" s="87" t="s">
        <v>40</v>
      </c>
      <c r="D75" s="134" t="s">
        <v>229</v>
      </c>
      <c r="E75" s="82"/>
    </row>
    <row r="76" ht="27.0" customHeight="1">
      <c r="A76" s="355" t="s">
        <v>328</v>
      </c>
      <c r="B76" s="355"/>
      <c r="C76" s="356">
        <f t="shared" ref="C76:C77" si="63">SUM(E76:P76)</f>
        <v>2924682.761</v>
      </c>
      <c r="D76" s="357">
        <f t="shared" ref="D76:D77" si="64">AVERAGE(E76:P76)</f>
        <v>243723.5634</v>
      </c>
      <c r="E76" s="408">
        <f t="shared" ref="E76:P76" si="62">E50+E58+E23</f>
        <v>159391.7871</v>
      </c>
      <c r="F76" s="356">
        <f t="shared" si="62"/>
        <v>154746.6258</v>
      </c>
      <c r="G76" s="356">
        <f t="shared" si="62"/>
        <v>160165.9806</v>
      </c>
      <c r="H76" s="356">
        <f t="shared" si="62"/>
        <v>166250.3677</v>
      </c>
      <c r="I76" s="356">
        <f t="shared" si="62"/>
        <v>180537.6</v>
      </c>
      <c r="J76" s="356">
        <f t="shared" si="62"/>
        <v>228857.6</v>
      </c>
      <c r="K76" s="356">
        <f t="shared" si="62"/>
        <v>257708.8</v>
      </c>
      <c r="L76" s="356">
        <f t="shared" si="62"/>
        <v>291756.8</v>
      </c>
      <c r="M76" s="356">
        <f t="shared" si="62"/>
        <v>314924.8</v>
      </c>
      <c r="N76" s="356">
        <f t="shared" si="62"/>
        <v>329292.8</v>
      </c>
      <c r="O76" s="356">
        <f t="shared" si="62"/>
        <v>340140.8</v>
      </c>
      <c r="P76" s="356">
        <f t="shared" si="62"/>
        <v>340908.8</v>
      </c>
      <c r="Q76" s="358"/>
      <c r="R76" s="358"/>
      <c r="S76" s="358"/>
      <c r="T76" s="358"/>
      <c r="U76" s="358"/>
      <c r="V76" s="358"/>
      <c r="W76" s="358"/>
      <c r="X76" s="358"/>
      <c r="Y76" s="358"/>
      <c r="Z76" s="358"/>
    </row>
    <row r="77" ht="27.0" customHeight="1">
      <c r="A77" s="360" t="s">
        <v>329</v>
      </c>
      <c r="B77" s="361">
        <f>C77/C76</f>
        <v>0.2212041458</v>
      </c>
      <c r="C77" s="362">
        <f t="shared" si="63"/>
        <v>646951.952</v>
      </c>
      <c r="D77" s="363">
        <f t="shared" si="64"/>
        <v>53912.66267</v>
      </c>
      <c r="E77" s="409">
        <f t="shared" ref="E77:P77" si="65">E67+E51+E24-E25</f>
        <v>5421.908</v>
      </c>
      <c r="F77" s="362">
        <f t="shared" si="65"/>
        <v>-186.092</v>
      </c>
      <c r="G77" s="362">
        <f t="shared" si="65"/>
        <v>991.508</v>
      </c>
      <c r="H77" s="362">
        <f t="shared" si="65"/>
        <v>9223.508</v>
      </c>
      <c r="I77" s="362">
        <f t="shared" si="65"/>
        <v>17475.8</v>
      </c>
      <c r="J77" s="362">
        <f t="shared" si="65"/>
        <v>43059.8</v>
      </c>
      <c r="K77" s="362">
        <f t="shared" si="65"/>
        <v>60493.72</v>
      </c>
      <c r="L77" s="362">
        <f t="shared" si="65"/>
        <v>79354.52</v>
      </c>
      <c r="M77" s="362">
        <f t="shared" si="65"/>
        <v>95647.32</v>
      </c>
      <c r="N77" s="362">
        <f t="shared" si="65"/>
        <v>105868.12</v>
      </c>
      <c r="O77" s="362">
        <f t="shared" si="65"/>
        <v>114522.52</v>
      </c>
      <c r="P77" s="362">
        <f t="shared" si="65"/>
        <v>115079.32</v>
      </c>
      <c r="Q77" s="364"/>
      <c r="R77" s="364"/>
      <c r="S77" s="364"/>
      <c r="T77" s="364"/>
      <c r="U77" s="364"/>
      <c r="V77" s="364"/>
      <c r="W77" s="364"/>
      <c r="X77" s="364"/>
      <c r="Y77" s="364"/>
      <c r="Z77" s="364"/>
    </row>
    <row r="78" ht="15.75" customHeight="1">
      <c r="C78" s="410"/>
      <c r="D78" s="407"/>
    </row>
    <row r="79" ht="15.75" customHeight="1">
      <c r="D79" s="407"/>
    </row>
    <row r="80" ht="15.75" customHeight="1">
      <c r="D80" s="407"/>
    </row>
    <row r="81" ht="15.75" customHeight="1">
      <c r="A81" s="196" t="s">
        <v>374</v>
      </c>
      <c r="C81" s="79">
        <f>SUM(E81:P81)</f>
        <v>115.4</v>
      </c>
      <c r="D81" s="407">
        <f>5/E9</f>
        <v>0.625</v>
      </c>
      <c r="E81" s="224">
        <f t="shared" ref="E81:P81" si="66">$D$81*E9</f>
        <v>5</v>
      </c>
      <c r="F81" s="224">
        <f t="shared" si="66"/>
        <v>6</v>
      </c>
      <c r="G81" s="224">
        <f t="shared" si="66"/>
        <v>6.8</v>
      </c>
      <c r="H81" s="224">
        <f t="shared" si="66"/>
        <v>8</v>
      </c>
      <c r="I81" s="224">
        <f t="shared" si="66"/>
        <v>8.8</v>
      </c>
      <c r="J81" s="224">
        <f t="shared" si="66"/>
        <v>10</v>
      </c>
      <c r="K81" s="224">
        <f t="shared" si="66"/>
        <v>10.8</v>
      </c>
      <c r="L81" s="224">
        <f t="shared" si="66"/>
        <v>12</v>
      </c>
      <c r="M81" s="224">
        <f t="shared" si="66"/>
        <v>12</v>
      </c>
      <c r="N81" s="224">
        <f t="shared" si="66"/>
        <v>12</v>
      </c>
      <c r="O81" s="224">
        <f t="shared" si="66"/>
        <v>12</v>
      </c>
      <c r="P81" s="224">
        <f t="shared" si="66"/>
        <v>12</v>
      </c>
    </row>
    <row r="82" ht="15.75" customHeight="1">
      <c r="A82" s="196" t="s">
        <v>375</v>
      </c>
      <c r="D82" s="411">
        <v>0.025</v>
      </c>
      <c r="E82" s="192">
        <f t="shared" ref="E82:P82" si="67">$D$82*E76</f>
        <v>3984.794677</v>
      </c>
      <c r="F82" s="192">
        <f t="shared" si="67"/>
        <v>3868.665645</v>
      </c>
      <c r="G82" s="192">
        <f t="shared" si="67"/>
        <v>4004.149516</v>
      </c>
      <c r="H82" s="192">
        <f t="shared" si="67"/>
        <v>4156.259194</v>
      </c>
      <c r="I82" s="192">
        <f t="shared" si="67"/>
        <v>4513.44</v>
      </c>
      <c r="J82" s="192">
        <f t="shared" si="67"/>
        <v>5721.44</v>
      </c>
      <c r="K82" s="192">
        <f t="shared" si="67"/>
        <v>6442.72</v>
      </c>
      <c r="L82" s="192">
        <f t="shared" si="67"/>
        <v>7293.92</v>
      </c>
      <c r="M82" s="192">
        <f t="shared" si="67"/>
        <v>7873.12</v>
      </c>
      <c r="N82" s="192">
        <f t="shared" si="67"/>
        <v>8232.32</v>
      </c>
      <c r="O82" s="192">
        <f t="shared" si="67"/>
        <v>8503.52</v>
      </c>
      <c r="P82" s="192">
        <f t="shared" si="67"/>
        <v>8522.72</v>
      </c>
    </row>
    <row r="83" ht="15.75" customHeight="1">
      <c r="A83" s="164"/>
      <c r="C83" s="377" t="s">
        <v>376</v>
      </c>
      <c r="D83" s="412">
        <f>SUM(E83:P83)</f>
        <v>6000</v>
      </c>
      <c r="E83" s="392">
        <v>600.0</v>
      </c>
      <c r="F83" s="192">
        <f t="shared" ref="F83:N83" si="68">E83</f>
        <v>600</v>
      </c>
      <c r="G83" s="192">
        <f t="shared" si="68"/>
        <v>600</v>
      </c>
      <c r="H83" s="192">
        <f t="shared" si="68"/>
        <v>600</v>
      </c>
      <c r="I83" s="192">
        <f t="shared" si="68"/>
        <v>600</v>
      </c>
      <c r="J83" s="192">
        <f t="shared" si="68"/>
        <v>600</v>
      </c>
      <c r="K83" s="192">
        <f t="shared" si="68"/>
        <v>600</v>
      </c>
      <c r="L83" s="192">
        <f t="shared" si="68"/>
        <v>600</v>
      </c>
      <c r="M83" s="192">
        <f t="shared" si="68"/>
        <v>600</v>
      </c>
      <c r="N83" s="192">
        <f t="shared" si="68"/>
        <v>600</v>
      </c>
      <c r="O83" s="192"/>
      <c r="P83" s="192"/>
    </row>
    <row r="84" ht="15.75" customHeight="1">
      <c r="A84" s="164"/>
      <c r="D84" s="135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</row>
    <row r="85" ht="15.75" customHeight="1">
      <c r="A85" s="164"/>
      <c r="D85" s="135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</row>
    <row r="86" ht="15.75" customHeight="1"/>
    <row r="87" ht="15.75" customHeight="1"/>
    <row r="88" ht="15.75" customHeight="1"/>
    <row r="89" ht="15.75" customHeight="1"/>
    <row r="90" ht="15.75" customHeight="1"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</row>
    <row r="91" ht="15.75" customHeight="1"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</row>
    <row r="92" ht="15.75" customHeight="1"/>
    <row r="93" ht="15.75" customHeight="1"/>
    <row r="94" ht="15.75" customHeight="1"/>
    <row r="95" ht="15.75" customHeight="1"/>
    <row r="96" ht="15.75" customHeight="1">
      <c r="B96" s="88"/>
    </row>
    <row r="97" ht="15.75" customHeight="1">
      <c r="B97" s="88"/>
    </row>
    <row r="98" ht="15.75" customHeight="1">
      <c r="B98" s="88"/>
    </row>
    <row r="99" ht="15.75" customHeight="1">
      <c r="B99" s="90"/>
    </row>
    <row r="100" ht="15.75" customHeight="1"/>
    <row r="101" ht="15.75" customHeight="1">
      <c r="A101" s="81"/>
      <c r="C101" s="81"/>
    </row>
    <row r="102" ht="15.75" customHeight="1">
      <c r="A102" s="164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>
      <c r="B109" s="172"/>
      <c r="C109" s="172"/>
      <c r="D109" s="172"/>
      <c r="E109" s="88"/>
    </row>
    <row r="110" ht="15.75" customHeight="1"/>
    <row r="111" ht="15.75" customHeight="1"/>
    <row r="112" ht="15.75" customHeight="1"/>
    <row r="113" ht="15.75" customHeight="1">
      <c r="C113" s="80"/>
    </row>
    <row r="114" ht="15.75" customHeight="1">
      <c r="C114" s="90"/>
    </row>
    <row r="115" ht="15.75" customHeight="1">
      <c r="C115" s="80"/>
    </row>
    <row r="116" ht="15.75" customHeight="1">
      <c r="C116" s="90"/>
    </row>
    <row r="117" ht="15.75" customHeight="1">
      <c r="C117" s="90"/>
    </row>
    <row r="118" ht="15.75" customHeight="1">
      <c r="C118" s="90"/>
    </row>
    <row r="119" ht="15.75" customHeight="1"/>
    <row r="120" ht="15.75" customHeight="1">
      <c r="C120" s="88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3.89"/>
  </cols>
  <sheetData>
    <row r="1">
      <c r="A1" s="196" t="s">
        <v>377</v>
      </c>
    </row>
    <row r="3">
      <c r="A3" s="413" t="s">
        <v>378</v>
      </c>
    </row>
    <row r="4">
      <c r="A4" s="414" t="s">
        <v>379</v>
      </c>
    </row>
    <row r="5">
      <c r="A5" s="414" t="s">
        <v>380</v>
      </c>
    </row>
    <row r="6">
      <c r="A6" s="414" t="s">
        <v>381</v>
      </c>
    </row>
    <row r="7">
      <c r="A7" s="415"/>
    </row>
    <row r="8">
      <c r="A8" s="413" t="s">
        <v>382</v>
      </c>
    </row>
    <row r="9">
      <c r="A9" s="414" t="s">
        <v>383</v>
      </c>
    </row>
    <row r="13">
      <c r="A13" s="233" t="s">
        <v>384</v>
      </c>
    </row>
    <row r="14">
      <c r="A14" s="196" t="s">
        <v>385</v>
      </c>
    </row>
    <row r="18">
      <c r="A18" s="233" t="s">
        <v>386</v>
      </c>
    </row>
    <row r="19">
      <c r="A19" s="196" t="s">
        <v>387</v>
      </c>
    </row>
    <row r="20">
      <c r="A20" s="196" t="s">
        <v>388</v>
      </c>
    </row>
    <row r="23">
      <c r="A23" s="233" t="s">
        <v>389</v>
      </c>
    </row>
    <row r="28">
      <c r="A28" s="233" t="s">
        <v>390</v>
      </c>
    </row>
    <row r="29">
      <c r="A29" s="196" t="s">
        <v>391</v>
      </c>
    </row>
    <row r="33">
      <c r="A33" s="413" t="s">
        <v>392</v>
      </c>
      <c r="B33" s="415"/>
    </row>
    <row r="34">
      <c r="A34" s="414" t="s">
        <v>182</v>
      </c>
      <c r="B34" s="414" t="s">
        <v>393</v>
      </c>
    </row>
    <row r="35">
      <c r="A35" s="414" t="s">
        <v>394</v>
      </c>
      <c r="B35" s="414" t="s">
        <v>393</v>
      </c>
    </row>
    <row r="36">
      <c r="A36" s="414" t="s">
        <v>206</v>
      </c>
      <c r="B36" s="414" t="s">
        <v>393</v>
      </c>
    </row>
    <row r="40">
      <c r="A40" s="233" t="s">
        <v>395</v>
      </c>
    </row>
    <row r="47">
      <c r="A47" s="233" t="s">
        <v>396</v>
      </c>
    </row>
    <row r="48">
      <c r="A48" s="196" t="s">
        <v>104</v>
      </c>
    </row>
    <row r="49">
      <c r="A49" s="196" t="s">
        <v>104</v>
      </c>
    </row>
    <row r="50">
      <c r="A50" s="196" t="s">
        <v>104</v>
      </c>
    </row>
    <row r="52">
      <c r="A52" s="233" t="s">
        <v>397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67"/>
    <col customWidth="1" min="2" max="26" width="10.56"/>
  </cols>
  <sheetData>
    <row r="1" ht="15.75" customHeight="1">
      <c r="A1" s="81" t="s">
        <v>398</v>
      </c>
    </row>
    <row r="2" ht="15.75" customHeight="1">
      <c r="A2" s="79" t="s">
        <v>399</v>
      </c>
    </row>
    <row r="3" ht="15.75" customHeight="1">
      <c r="A3" s="79" t="s">
        <v>400</v>
      </c>
    </row>
    <row r="4" ht="15.75" customHeight="1">
      <c r="A4" s="79" t="s">
        <v>401</v>
      </c>
    </row>
    <row r="5" ht="33.0" customHeight="1">
      <c r="A5" s="416" t="s">
        <v>402</v>
      </c>
      <c r="B5" s="79" t="s">
        <v>403</v>
      </c>
    </row>
    <row r="6" ht="15.75" customHeight="1">
      <c r="A6" s="417" t="s">
        <v>404</v>
      </c>
    </row>
    <row r="7" ht="15.75" customHeight="1">
      <c r="A7" s="79" t="s">
        <v>405</v>
      </c>
    </row>
    <row r="8" ht="15.75" customHeight="1"/>
    <row r="9" ht="15.75" customHeight="1">
      <c r="A9" s="81" t="s">
        <v>406</v>
      </c>
    </row>
    <row r="10" ht="15.75" customHeight="1">
      <c r="A10" s="79" t="s">
        <v>407</v>
      </c>
    </row>
    <row r="11" ht="15.75" customHeight="1">
      <c r="A11" s="79" t="s">
        <v>408</v>
      </c>
    </row>
    <row r="12" ht="15.75" customHeight="1">
      <c r="A12" s="79" t="s">
        <v>409</v>
      </c>
    </row>
    <row r="13" ht="15.75" customHeight="1">
      <c r="A13" s="79" t="s">
        <v>410</v>
      </c>
    </row>
    <row r="14" ht="15.75" customHeight="1">
      <c r="A14" s="79" t="s">
        <v>411</v>
      </c>
    </row>
    <row r="15" ht="15.75" customHeight="1"/>
    <row r="16" ht="15.75" customHeight="1">
      <c r="A16" s="79" t="s">
        <v>412</v>
      </c>
    </row>
    <row r="17" ht="15.75" customHeight="1">
      <c r="A17" s="79" t="s">
        <v>413</v>
      </c>
    </row>
    <row r="18" ht="15.75" customHeight="1">
      <c r="A18" s="79" t="s">
        <v>414</v>
      </c>
    </row>
    <row r="19" ht="15.75" customHeight="1">
      <c r="A19" s="311" t="s">
        <v>415</v>
      </c>
    </row>
    <row r="20" ht="15.75" customHeight="1">
      <c r="A20" s="79" t="s">
        <v>416</v>
      </c>
    </row>
    <row r="21" ht="15.75" customHeight="1">
      <c r="A21" s="79" t="s">
        <v>417</v>
      </c>
    </row>
    <row r="22" ht="15.75" customHeight="1">
      <c r="A22" s="79" t="s">
        <v>418</v>
      </c>
    </row>
    <row r="23" ht="15.75" customHeight="1"/>
    <row r="24" ht="15.75" customHeight="1"/>
    <row r="25" ht="15.75" customHeight="1">
      <c r="A25" s="79" t="s">
        <v>419</v>
      </c>
    </row>
    <row r="26" ht="15.75" customHeight="1">
      <c r="A26" s="79" t="s">
        <v>420</v>
      </c>
      <c r="B26" s="79" t="s">
        <v>421</v>
      </c>
      <c r="C26" s="79" t="s">
        <v>422</v>
      </c>
    </row>
    <row r="27" ht="15.75" customHeight="1">
      <c r="B27" s="79" t="s">
        <v>423</v>
      </c>
      <c r="C27" s="79" t="s">
        <v>424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17.11"/>
    <col customWidth="1" min="3" max="3" width="10.56"/>
    <col customWidth="1" min="4" max="4" width="36.0"/>
    <col customWidth="1" min="5" max="5" width="38.33"/>
    <col customWidth="1" min="6" max="6" width="32.67"/>
    <col customWidth="1" min="7" max="7" width="27.44"/>
    <col customWidth="1" min="8" max="8" width="26.67"/>
    <col customWidth="1" min="9" max="9" width="10.56"/>
    <col customWidth="1" min="10" max="10" width="15.11"/>
    <col customWidth="1" min="11" max="26" width="10.56"/>
  </cols>
  <sheetData>
    <row r="1" ht="15.75" customHeight="1">
      <c r="A1" s="79" t="s">
        <v>425</v>
      </c>
      <c r="C1" s="80"/>
      <c r="D1" s="80" t="s">
        <v>426</v>
      </c>
      <c r="E1" s="80" t="s">
        <v>427</v>
      </c>
      <c r="F1" s="80" t="s">
        <v>428</v>
      </c>
      <c r="G1" s="80" t="s">
        <v>429</v>
      </c>
      <c r="H1" s="80" t="s">
        <v>430</v>
      </c>
      <c r="I1" s="80"/>
      <c r="J1" s="80" t="s">
        <v>431</v>
      </c>
    </row>
    <row r="2" ht="234.75" customHeight="1">
      <c r="C2" s="418" t="s">
        <v>432</v>
      </c>
      <c r="D2" s="418" t="s">
        <v>433</v>
      </c>
      <c r="E2" s="418" t="s">
        <v>434</v>
      </c>
      <c r="F2" s="418" t="s">
        <v>435</v>
      </c>
      <c r="G2" s="418" t="s">
        <v>436</v>
      </c>
      <c r="H2" s="418" t="s">
        <v>437</v>
      </c>
    </row>
    <row r="3" ht="15.75" customHeight="1">
      <c r="C3" s="418" t="s">
        <v>438</v>
      </c>
      <c r="D3" s="418" t="s">
        <v>439</v>
      </c>
      <c r="E3" s="418" t="s">
        <v>440</v>
      </c>
      <c r="F3" s="418" t="s">
        <v>441</v>
      </c>
      <c r="G3" s="418" t="s">
        <v>436</v>
      </c>
      <c r="H3" s="418" t="s">
        <v>437</v>
      </c>
    </row>
    <row r="4" ht="15.75" customHeight="1">
      <c r="C4" s="418" t="s">
        <v>442</v>
      </c>
      <c r="D4" s="418"/>
      <c r="E4" s="418"/>
      <c r="F4" s="418"/>
      <c r="G4" s="418"/>
      <c r="H4" s="418"/>
    </row>
    <row r="5" ht="15.75" customHeight="1">
      <c r="C5" s="80"/>
      <c r="D5" s="80" t="s">
        <v>443</v>
      </c>
      <c r="E5" s="80" t="s">
        <v>444</v>
      </c>
      <c r="F5" s="80"/>
      <c r="G5" s="80"/>
      <c r="H5" s="80"/>
    </row>
    <row r="6" ht="15.75" customHeight="1">
      <c r="C6" s="80"/>
      <c r="D6" s="80"/>
      <c r="E6" s="80"/>
      <c r="F6" s="80"/>
      <c r="G6" s="80"/>
      <c r="H6" s="80"/>
    </row>
    <row r="7" ht="15.75" customHeight="1">
      <c r="C7" s="80"/>
      <c r="D7" s="80"/>
      <c r="E7" s="80"/>
      <c r="F7" s="80"/>
      <c r="G7" s="80"/>
      <c r="H7" s="80"/>
    </row>
    <row r="8" ht="15.75" customHeight="1">
      <c r="C8" s="80"/>
      <c r="D8" s="419" t="s">
        <v>445</v>
      </c>
      <c r="E8" s="154"/>
      <c r="F8" s="80"/>
      <c r="G8" s="80"/>
      <c r="H8" s="80"/>
    </row>
    <row r="9" ht="15.75" customHeight="1">
      <c r="C9" s="80"/>
      <c r="D9" s="419" t="s">
        <v>446</v>
      </c>
      <c r="E9" s="80"/>
      <c r="F9" s="80"/>
      <c r="G9" s="80"/>
      <c r="H9" s="80"/>
    </row>
    <row r="10" ht="15.75" customHeight="1">
      <c r="D10" s="419" t="s">
        <v>447</v>
      </c>
    </row>
    <row r="11" ht="15.75" customHeight="1">
      <c r="D11" s="419" t="s">
        <v>448</v>
      </c>
    </row>
    <row r="12" ht="15.75" customHeight="1">
      <c r="D12" s="419" t="s">
        <v>449</v>
      </c>
    </row>
    <row r="13" ht="15.75" customHeight="1">
      <c r="D13" s="420" t="s">
        <v>450</v>
      </c>
    </row>
    <row r="14" ht="15.75" customHeight="1">
      <c r="D14" s="420" t="s">
        <v>451</v>
      </c>
    </row>
    <row r="15" ht="15.75" customHeight="1">
      <c r="D15" s="420" t="s">
        <v>452</v>
      </c>
    </row>
    <row r="16" ht="15.75" customHeight="1">
      <c r="D16" s="420"/>
    </row>
    <row r="17" ht="15.75" customHeight="1">
      <c r="D17" s="420"/>
    </row>
    <row r="18" ht="15.75" customHeight="1">
      <c r="D18" s="420"/>
    </row>
    <row r="19" ht="15.75" customHeight="1">
      <c r="D19" s="420"/>
    </row>
    <row r="20" ht="15.75" customHeight="1">
      <c r="D20" s="420"/>
    </row>
    <row r="21" ht="15.75" customHeight="1">
      <c r="D21" s="42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78"/>
    <col customWidth="1" min="2" max="6" width="10.56"/>
    <col customWidth="1" min="7" max="7" width="12.0"/>
    <col customWidth="1" min="8" max="26" width="10.56"/>
  </cols>
  <sheetData>
    <row r="1" ht="15.75" customHeight="1">
      <c r="A1" s="79" t="s">
        <v>453</v>
      </c>
      <c r="B1" s="80" t="s">
        <v>454</v>
      </c>
      <c r="C1" s="80" t="s">
        <v>455</v>
      </c>
      <c r="D1" s="80" t="s">
        <v>456</v>
      </c>
      <c r="E1" s="79" t="s">
        <v>457</v>
      </c>
      <c r="F1" s="80" t="s">
        <v>458</v>
      </c>
      <c r="G1" s="80" t="s">
        <v>40</v>
      </c>
    </row>
    <row r="2" ht="15.75" customHeight="1">
      <c r="A2" s="79" t="s">
        <v>459</v>
      </c>
      <c r="B2" s="154">
        <v>77.81</v>
      </c>
      <c r="C2" s="80">
        <f>100*0.25*0.25</f>
        <v>6.25</v>
      </c>
      <c r="D2" s="80">
        <f>2.15*(1.15+1.8)</f>
        <v>6.3425</v>
      </c>
      <c r="E2" s="133">
        <f t="shared" ref="E2:E12" si="1">D2/C2</f>
        <v>1.0148</v>
      </c>
      <c r="F2" s="80">
        <v>1.0</v>
      </c>
      <c r="G2" s="154">
        <f t="shared" ref="G2:G12" si="2">F2*B2</f>
        <v>77.81</v>
      </c>
      <c r="J2" s="79" t="s">
        <v>460</v>
      </c>
      <c r="K2" s="79">
        <v>6.0</v>
      </c>
      <c r="L2" s="79">
        <v>2.0</v>
      </c>
      <c r="N2" s="79">
        <f>L2*K2</f>
        <v>12</v>
      </c>
    </row>
    <row r="3" ht="15.75" customHeight="1">
      <c r="A3" s="79" t="s">
        <v>461</v>
      </c>
      <c r="B3" s="172">
        <f>55</f>
        <v>55</v>
      </c>
      <c r="C3" s="80">
        <f>10*0.7*0.77</f>
        <v>5.39</v>
      </c>
      <c r="D3" s="80">
        <v>6.5</v>
      </c>
      <c r="E3" s="133">
        <f t="shared" si="1"/>
        <v>1.20593692</v>
      </c>
      <c r="F3" s="80">
        <v>2.0</v>
      </c>
      <c r="G3" s="154">
        <f t="shared" si="2"/>
        <v>110</v>
      </c>
      <c r="K3" s="79">
        <v>2.0</v>
      </c>
      <c r="L3" s="79">
        <v>2.0</v>
      </c>
      <c r="M3" s="79">
        <v>2.0</v>
      </c>
      <c r="N3" s="79">
        <f>SUM(K3:M3)</f>
        <v>6</v>
      </c>
    </row>
    <row r="4" ht="15.75" customHeight="1">
      <c r="A4" s="79" t="s">
        <v>462</v>
      </c>
      <c r="B4" s="154">
        <v>100.0</v>
      </c>
      <c r="C4" s="80">
        <f>0.5*1</f>
        <v>0.5</v>
      </c>
      <c r="D4" s="190">
        <v>30.0</v>
      </c>
      <c r="E4" s="133">
        <f t="shared" si="1"/>
        <v>60</v>
      </c>
      <c r="F4" s="190">
        <v>60.0</v>
      </c>
      <c r="G4" s="154">
        <f t="shared" si="2"/>
        <v>6000</v>
      </c>
      <c r="K4" s="79">
        <f>2.15*2+5.4</f>
        <v>9.7</v>
      </c>
      <c r="L4" s="79">
        <f>2.15+2.15+2.15+3</f>
        <v>9.45</v>
      </c>
      <c r="N4" s="79">
        <f>L4+K4</f>
        <v>19.15</v>
      </c>
    </row>
    <row r="5" ht="15.75" customHeight="1">
      <c r="A5" s="79" t="s">
        <v>463</v>
      </c>
      <c r="B5" s="154">
        <v>77.81</v>
      </c>
      <c r="C5" s="80">
        <f>100*0.25*0.25</f>
        <v>6.25</v>
      </c>
      <c r="D5" s="80">
        <f>2.15*(5.4)</f>
        <v>11.61</v>
      </c>
      <c r="E5" s="133">
        <f t="shared" si="1"/>
        <v>1.8576</v>
      </c>
      <c r="F5" s="80">
        <v>2.0</v>
      </c>
      <c r="G5" s="154">
        <f t="shared" si="2"/>
        <v>155.62</v>
      </c>
      <c r="N5" s="79">
        <f>N4+N3+N2</f>
        <v>37.15</v>
      </c>
    </row>
    <row r="6" ht="15.75" customHeight="1">
      <c r="A6" s="79" t="s">
        <v>464</v>
      </c>
      <c r="B6" s="154">
        <v>180.0</v>
      </c>
      <c r="C6" s="80">
        <f>3.05*1.1</f>
        <v>3.355</v>
      </c>
      <c r="D6" s="80">
        <f>3.05*2</f>
        <v>6.1</v>
      </c>
      <c r="E6" s="133">
        <f t="shared" si="1"/>
        <v>1.818181818</v>
      </c>
      <c r="F6" s="80">
        <v>2.0</v>
      </c>
      <c r="G6" s="154">
        <f t="shared" si="2"/>
        <v>360</v>
      </c>
    </row>
    <row r="7" ht="15.75" customHeight="1">
      <c r="A7" s="79" t="s">
        <v>465</v>
      </c>
      <c r="B7" s="154">
        <v>500.0</v>
      </c>
      <c r="C7" s="80">
        <f>25*0.4*0.6</f>
        <v>6</v>
      </c>
      <c r="D7" s="80">
        <f>6*0.6</f>
        <v>3.6</v>
      </c>
      <c r="E7" s="133">
        <f t="shared" si="1"/>
        <v>0.6</v>
      </c>
      <c r="F7" s="80">
        <v>1.0</v>
      </c>
      <c r="G7" s="154">
        <f t="shared" si="2"/>
        <v>500</v>
      </c>
    </row>
    <row r="8" ht="15.75" customHeight="1">
      <c r="A8" s="79" t="s">
        <v>466</v>
      </c>
      <c r="B8" s="154">
        <v>200.0</v>
      </c>
      <c r="C8" s="80">
        <v>1.0</v>
      </c>
      <c r="D8" s="80">
        <v>2.0</v>
      </c>
      <c r="E8" s="133">
        <f t="shared" si="1"/>
        <v>2</v>
      </c>
      <c r="F8" s="133">
        <f t="shared" ref="F8:F9" si="3">E8</f>
        <v>2</v>
      </c>
      <c r="G8" s="154">
        <f t="shared" si="2"/>
        <v>400</v>
      </c>
    </row>
    <row r="9" ht="15.75" customHeight="1">
      <c r="A9" s="79" t="s">
        <v>467</v>
      </c>
      <c r="B9" s="154">
        <v>200.0</v>
      </c>
      <c r="C9" s="80">
        <v>1.0</v>
      </c>
      <c r="D9" s="80">
        <v>1.0</v>
      </c>
      <c r="E9" s="133">
        <f t="shared" si="1"/>
        <v>1</v>
      </c>
      <c r="F9" s="133">
        <f t="shared" si="3"/>
        <v>1</v>
      </c>
      <c r="G9" s="154">
        <f t="shared" si="2"/>
        <v>200</v>
      </c>
      <c r="I9" s="79">
        <f>60*6.4</f>
        <v>384</v>
      </c>
    </row>
    <row r="10" ht="15.75" customHeight="1">
      <c r="A10" s="79" t="s">
        <v>468</v>
      </c>
      <c r="B10" s="154">
        <v>50.0</v>
      </c>
      <c r="C10" s="80">
        <v>2.0</v>
      </c>
      <c r="D10" s="80">
        <v>10.0</v>
      </c>
      <c r="E10" s="133">
        <f t="shared" si="1"/>
        <v>5</v>
      </c>
      <c r="F10" s="80">
        <v>5.0</v>
      </c>
      <c r="G10" s="154">
        <f t="shared" si="2"/>
        <v>250</v>
      </c>
    </row>
    <row r="11" ht="15.75" customHeight="1">
      <c r="A11" s="79" t="s">
        <v>469</v>
      </c>
      <c r="B11" s="154">
        <v>66.9</v>
      </c>
      <c r="C11" s="80">
        <f>0.3*0.4*10</f>
        <v>1.2</v>
      </c>
      <c r="D11" s="80">
        <f>2.15*(5.4/3)</f>
        <v>3.87</v>
      </c>
      <c r="E11" s="133">
        <f t="shared" si="1"/>
        <v>3.225</v>
      </c>
      <c r="F11" s="80">
        <v>4.0</v>
      </c>
      <c r="G11" s="154">
        <f t="shared" si="2"/>
        <v>267.6</v>
      </c>
      <c r="J11" s="79">
        <f>5.4/3</f>
        <v>1.8</v>
      </c>
      <c r="L11" s="79">
        <f>6*2.8</f>
        <v>16.8</v>
      </c>
      <c r="M11" s="79">
        <f>L11/5.39</f>
        <v>3.116883117</v>
      </c>
      <c r="N11" s="79" t="s">
        <v>470</v>
      </c>
    </row>
    <row r="12" ht="15.75" customHeight="1">
      <c r="A12" s="79" t="s">
        <v>471</v>
      </c>
      <c r="B12" s="154">
        <v>350.0</v>
      </c>
      <c r="C12" s="80">
        <v>1.0</v>
      </c>
      <c r="D12" s="80">
        <v>1.0</v>
      </c>
      <c r="E12" s="133">
        <f t="shared" si="1"/>
        <v>1</v>
      </c>
      <c r="F12" s="80">
        <v>1.0</v>
      </c>
      <c r="G12" s="154">
        <f t="shared" si="2"/>
        <v>350</v>
      </c>
    </row>
    <row r="13" ht="15.75" customHeight="1">
      <c r="G13" s="421">
        <f>SUM(G2:G12)</f>
        <v>8671.03</v>
      </c>
    </row>
    <row r="14" ht="15.75" customHeight="1"/>
    <row r="15" ht="15.75" customHeight="1"/>
    <row r="16" ht="15.75" customHeight="1">
      <c r="B16" s="196">
        <v>2.1</v>
      </c>
      <c r="C16" s="196">
        <v>5.12</v>
      </c>
      <c r="D16" s="79">
        <f t="shared" ref="D16:D18" si="4">C16*B16</f>
        <v>10.752</v>
      </c>
    </row>
    <row r="17" ht="15.75" customHeight="1">
      <c r="B17" s="196">
        <v>2.1</v>
      </c>
      <c r="C17" s="196">
        <v>5.72</v>
      </c>
      <c r="D17" s="79">
        <f t="shared" si="4"/>
        <v>12.012</v>
      </c>
    </row>
    <row r="18" ht="15.75" customHeight="1">
      <c r="B18" s="196">
        <v>2.1</v>
      </c>
      <c r="C18" s="196">
        <v>3.13</v>
      </c>
      <c r="D18" s="79">
        <f t="shared" si="4"/>
        <v>6.573</v>
      </c>
    </row>
    <row r="19" ht="15.75" customHeight="1">
      <c r="D19" s="79">
        <f>SUM(D16:D18)</f>
        <v>29.337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3.22"/>
    <col customWidth="1" min="2" max="26" width="10.56"/>
  </cols>
  <sheetData>
    <row r="1" ht="15.75" customHeight="1">
      <c r="A1" s="79" t="s">
        <v>186</v>
      </c>
    </row>
    <row r="2" ht="15.75" customHeight="1">
      <c r="A2" s="422" t="s">
        <v>472</v>
      </c>
      <c r="B2" s="196" t="s">
        <v>473</v>
      </c>
      <c r="L2" s="135">
        <v>0.2</v>
      </c>
    </row>
    <row r="3" ht="15.75" customHeight="1">
      <c r="A3" s="422" t="s">
        <v>474</v>
      </c>
      <c r="B3" s="196" t="s">
        <v>475</v>
      </c>
    </row>
    <row r="4" ht="15.75" customHeight="1">
      <c r="A4" s="422" t="s">
        <v>476</v>
      </c>
    </row>
    <row r="5" ht="15.75" customHeight="1">
      <c r="A5" s="422" t="s">
        <v>477</v>
      </c>
    </row>
    <row r="6" ht="15.75" customHeight="1">
      <c r="A6" s="422" t="s">
        <v>478</v>
      </c>
      <c r="L6" s="135">
        <v>0.2</v>
      </c>
    </row>
    <row r="7" ht="15.75" customHeight="1">
      <c r="A7" s="422" t="s">
        <v>479</v>
      </c>
    </row>
    <row r="8" ht="15.75" customHeight="1"/>
    <row r="9" ht="15.75" customHeight="1"/>
    <row r="10" ht="15.75" customHeight="1">
      <c r="A10" s="79" t="s">
        <v>192</v>
      </c>
    </row>
    <row r="11" ht="15.75" customHeight="1">
      <c r="A11" s="79" t="s">
        <v>480</v>
      </c>
    </row>
    <row r="12" ht="15.75" customHeight="1">
      <c r="A12" s="79" t="s">
        <v>481</v>
      </c>
    </row>
    <row r="13" ht="15.75" customHeight="1">
      <c r="A13" s="79" t="s">
        <v>482</v>
      </c>
    </row>
    <row r="14" ht="15.75" customHeight="1">
      <c r="A14" s="79" t="s">
        <v>483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1" max="1" width="52.11"/>
    <col customWidth="1" min="2" max="2" width="18.33"/>
    <col customWidth="1" min="3" max="3" width="19.44"/>
    <col customWidth="1" min="4" max="4" width="21.67"/>
    <col customWidth="1" min="5" max="5" width="17.11"/>
    <col customWidth="1" min="6" max="6" width="18.0"/>
    <col customWidth="1" min="7" max="9" width="17.11"/>
    <col customWidth="1" min="10" max="16" width="16.33"/>
    <col customWidth="1" min="17" max="19" width="14.44"/>
    <col customWidth="1" min="20" max="20" width="12.33"/>
    <col customWidth="1" min="21" max="26" width="10.56"/>
  </cols>
  <sheetData>
    <row r="1" ht="15.75" customHeight="1">
      <c r="A1" s="203" t="s">
        <v>228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 ht="15.75" customHeight="1">
      <c r="A2" s="163" t="s">
        <v>129</v>
      </c>
      <c r="B2" s="204" t="s">
        <v>40</v>
      </c>
      <c r="C2" s="96" t="s">
        <v>229</v>
      </c>
      <c r="D2" s="205" t="s">
        <v>230</v>
      </c>
      <c r="E2" s="96">
        <v>1.0</v>
      </c>
      <c r="F2" s="96">
        <v>2.0</v>
      </c>
      <c r="G2" s="96">
        <v>3.0</v>
      </c>
      <c r="H2" s="96">
        <v>4.0</v>
      </c>
      <c r="I2" s="96">
        <v>5.0</v>
      </c>
      <c r="J2" s="96">
        <v>6.0</v>
      </c>
      <c r="K2" s="96">
        <v>7.0</v>
      </c>
      <c r="L2" s="96">
        <v>8.0</v>
      </c>
      <c r="M2" s="96">
        <v>9.0</v>
      </c>
      <c r="N2" s="96">
        <v>10.0</v>
      </c>
      <c r="O2" s="96">
        <v>11.0</v>
      </c>
      <c r="P2" s="96">
        <v>12.0</v>
      </c>
    </row>
    <row r="3" ht="15.75" customHeight="1">
      <c r="A3" s="206" t="s">
        <v>231</v>
      </c>
      <c r="B3" s="207">
        <f>SUM(E3:P3)</f>
        <v>2008800</v>
      </c>
      <c r="C3" s="154">
        <f t="shared" ref="C3:C5" si="1">AVERAGE(E3:P3)</f>
        <v>167400</v>
      </c>
      <c r="D3" s="175"/>
      <c r="E3" s="154">
        <f>'Premissas gerais'!O5</f>
        <v>42943.46793</v>
      </c>
      <c r="F3" s="154">
        <f>'Premissas gerais'!P5</f>
        <v>90658.4323</v>
      </c>
      <c r="G3" s="154">
        <f>'Premissas gerais'!Q5</f>
        <v>26243.2304</v>
      </c>
      <c r="H3" s="154">
        <f>'Premissas gerais'!R5</f>
        <v>181316.8646</v>
      </c>
      <c r="I3" s="154">
        <f>'Premissas gerais'!S5</f>
        <v>152687.886</v>
      </c>
      <c r="J3" s="154">
        <f>'Premissas gerais'!T5</f>
        <v>183702.6128</v>
      </c>
      <c r="K3" s="154">
        <f>'Premissas gerais'!U5</f>
        <v>167002.3753</v>
      </c>
      <c r="L3" s="154">
        <f>'Premissas gerais'!V5</f>
        <v>250503.5629</v>
      </c>
      <c r="M3" s="154">
        <f>'Premissas gerais'!W5</f>
        <v>195631.3539</v>
      </c>
      <c r="N3" s="154">
        <f>'Premissas gerais'!X5</f>
        <v>267203.8005</v>
      </c>
      <c r="O3" s="154">
        <f>'Premissas gerais'!Y5</f>
        <v>236189.0736</v>
      </c>
      <c r="P3" s="154">
        <f>'Premissas gerais'!Z5</f>
        <v>214717.3397</v>
      </c>
    </row>
    <row r="4" ht="15.75" customHeight="1">
      <c r="A4" s="110" t="s">
        <v>232</v>
      </c>
      <c r="B4" s="208">
        <v>1.0</v>
      </c>
      <c r="C4" s="147">
        <f t="shared" si="1"/>
        <v>1</v>
      </c>
      <c r="D4" s="209"/>
      <c r="E4" s="109">
        <f t="shared" ref="E4:P4" si="2">E3/$C$3</f>
        <v>0.2565320665</v>
      </c>
      <c r="F4" s="109">
        <f t="shared" si="2"/>
        <v>0.541567696</v>
      </c>
      <c r="G4" s="109">
        <f t="shared" si="2"/>
        <v>0.1567695962</v>
      </c>
      <c r="H4" s="109">
        <f t="shared" si="2"/>
        <v>1.083135392</v>
      </c>
      <c r="I4" s="109">
        <f t="shared" si="2"/>
        <v>0.9121140143</v>
      </c>
      <c r="J4" s="109">
        <f t="shared" si="2"/>
        <v>1.097387173</v>
      </c>
      <c r="K4" s="109">
        <f t="shared" si="2"/>
        <v>0.9976247031</v>
      </c>
      <c r="L4" s="109">
        <f t="shared" si="2"/>
        <v>1.496437055</v>
      </c>
      <c r="M4" s="109">
        <f t="shared" si="2"/>
        <v>1.168646081</v>
      </c>
      <c r="N4" s="109">
        <f t="shared" si="2"/>
        <v>1.596199525</v>
      </c>
      <c r="O4" s="109">
        <f t="shared" si="2"/>
        <v>1.410926366</v>
      </c>
      <c r="P4" s="109">
        <f t="shared" si="2"/>
        <v>1.282660333</v>
      </c>
    </row>
    <row r="5" ht="15.75" customHeight="1">
      <c r="A5" s="104" t="s">
        <v>237</v>
      </c>
      <c r="B5" s="210">
        <f>C5</f>
        <v>2</v>
      </c>
      <c r="C5" s="133">
        <f t="shared" si="1"/>
        <v>2</v>
      </c>
      <c r="D5" s="211">
        <v>2.0</v>
      </c>
      <c r="E5" s="80">
        <f t="shared" ref="E5:J5" si="3">D5</f>
        <v>2</v>
      </c>
      <c r="F5" s="80">
        <f t="shared" si="3"/>
        <v>2</v>
      </c>
      <c r="G5" s="80">
        <f t="shared" si="3"/>
        <v>2</v>
      </c>
      <c r="H5" s="80">
        <f t="shared" si="3"/>
        <v>2</v>
      </c>
      <c r="I5" s="80">
        <f t="shared" si="3"/>
        <v>2</v>
      </c>
      <c r="J5" s="80">
        <f t="shared" si="3"/>
        <v>2</v>
      </c>
      <c r="K5" s="212">
        <v>2.0</v>
      </c>
      <c r="L5" s="80">
        <f t="shared" ref="L5:P5" si="4">K5</f>
        <v>2</v>
      </c>
      <c r="M5" s="80">
        <f t="shared" si="4"/>
        <v>2</v>
      </c>
      <c r="N5" s="80">
        <f t="shared" si="4"/>
        <v>2</v>
      </c>
      <c r="O5" s="80">
        <f t="shared" si="4"/>
        <v>2</v>
      </c>
      <c r="P5" s="80">
        <f t="shared" si="4"/>
        <v>2</v>
      </c>
    </row>
    <row r="6" ht="15.75" customHeight="1">
      <c r="A6" s="213" t="s">
        <v>239</v>
      </c>
      <c r="B6" s="214">
        <v>84.0</v>
      </c>
      <c r="C6" s="215"/>
      <c r="D6" s="216"/>
      <c r="E6" s="217">
        <v>84.0</v>
      </c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</row>
    <row r="7" ht="15.75" customHeight="1">
      <c r="A7" s="213" t="s">
        <v>241</v>
      </c>
      <c r="B7" s="219">
        <f t="shared" ref="B7:B11" si="6">SUM(E7:P7)</f>
        <v>907.5</v>
      </c>
      <c r="C7" s="215"/>
      <c r="D7" s="216"/>
      <c r="E7" s="215">
        <f t="shared" ref="E7:P7" si="5">E8*3</f>
        <v>37.5</v>
      </c>
      <c r="F7" s="215">
        <f t="shared" si="5"/>
        <v>45</v>
      </c>
      <c r="G7" s="215">
        <f t="shared" si="5"/>
        <v>60</v>
      </c>
      <c r="H7" s="215">
        <f t="shared" si="5"/>
        <v>66</v>
      </c>
      <c r="I7" s="215">
        <f t="shared" si="5"/>
        <v>72</v>
      </c>
      <c r="J7" s="215">
        <f t="shared" si="5"/>
        <v>78</v>
      </c>
      <c r="K7" s="215">
        <f t="shared" si="5"/>
        <v>84</v>
      </c>
      <c r="L7" s="215">
        <f t="shared" si="5"/>
        <v>90</v>
      </c>
      <c r="M7" s="215">
        <f t="shared" si="5"/>
        <v>96</v>
      </c>
      <c r="N7" s="215">
        <f t="shared" si="5"/>
        <v>99</v>
      </c>
      <c r="O7" s="215">
        <f t="shared" si="5"/>
        <v>90</v>
      </c>
      <c r="P7" s="215">
        <f t="shared" si="5"/>
        <v>90</v>
      </c>
    </row>
    <row r="8" ht="15.75" customHeight="1">
      <c r="A8" s="104" t="s">
        <v>243</v>
      </c>
      <c r="B8" s="210">
        <f t="shared" si="6"/>
        <v>302.5</v>
      </c>
      <c r="C8" s="133">
        <f t="shared" ref="C8:C10" si="7">AVERAGE(E8:P8)</f>
        <v>25.20833333</v>
      </c>
      <c r="D8" s="220">
        <v>12.5</v>
      </c>
      <c r="E8" s="221">
        <f>D8</f>
        <v>12.5</v>
      </c>
      <c r="F8" s="221">
        <v>15.0</v>
      </c>
      <c r="G8" s="222">
        <v>20.0</v>
      </c>
      <c r="H8" s="222">
        <v>22.0</v>
      </c>
      <c r="I8" s="222">
        <v>24.0</v>
      </c>
      <c r="J8" s="222">
        <v>26.0</v>
      </c>
      <c r="K8" s="222">
        <v>28.0</v>
      </c>
      <c r="L8" s="221">
        <v>30.0</v>
      </c>
      <c r="M8" s="222">
        <v>32.0</v>
      </c>
      <c r="N8" s="222">
        <v>33.0</v>
      </c>
      <c r="O8" s="222">
        <v>30.0</v>
      </c>
      <c r="P8" s="222">
        <v>30.0</v>
      </c>
    </row>
    <row r="9" ht="15.75" customHeight="1">
      <c r="A9" s="104" t="s">
        <v>245</v>
      </c>
      <c r="B9" s="210">
        <f t="shared" si="6"/>
        <v>605</v>
      </c>
      <c r="C9" s="133">
        <f t="shared" si="7"/>
        <v>50.41666667</v>
      </c>
      <c r="D9" s="137">
        <f>E8*E5</f>
        <v>25</v>
      </c>
      <c r="E9" s="133">
        <f t="shared" ref="E9:P9" si="8">E5*E8</f>
        <v>25</v>
      </c>
      <c r="F9" s="133">
        <f t="shared" si="8"/>
        <v>30</v>
      </c>
      <c r="G9" s="133">
        <f t="shared" si="8"/>
        <v>40</v>
      </c>
      <c r="H9" s="133">
        <f t="shared" si="8"/>
        <v>44</v>
      </c>
      <c r="I9" s="133">
        <f t="shared" si="8"/>
        <v>48</v>
      </c>
      <c r="J9" s="133">
        <f t="shared" si="8"/>
        <v>52</v>
      </c>
      <c r="K9" s="133">
        <f t="shared" si="8"/>
        <v>56</v>
      </c>
      <c r="L9" s="133">
        <f t="shared" si="8"/>
        <v>60</v>
      </c>
      <c r="M9" s="133">
        <f t="shared" si="8"/>
        <v>64</v>
      </c>
      <c r="N9" s="133">
        <f t="shared" si="8"/>
        <v>66</v>
      </c>
      <c r="O9" s="133">
        <f t="shared" si="8"/>
        <v>60</v>
      </c>
      <c r="P9" s="133">
        <f t="shared" si="8"/>
        <v>60</v>
      </c>
    </row>
    <row r="10" ht="15.75" customHeight="1">
      <c r="A10" s="104" t="s">
        <v>247</v>
      </c>
      <c r="B10" s="210">
        <f t="shared" si="6"/>
        <v>3.84</v>
      </c>
      <c r="C10" s="133">
        <f t="shared" si="7"/>
        <v>0.32</v>
      </c>
      <c r="D10" s="223">
        <v>3.32</v>
      </c>
      <c r="E10" s="199">
        <v>0.32</v>
      </c>
      <c r="F10" s="90">
        <v>0.32</v>
      </c>
      <c r="G10" s="90">
        <v>0.32</v>
      </c>
      <c r="H10" s="90">
        <v>0.32</v>
      </c>
      <c r="I10" s="90">
        <v>0.32</v>
      </c>
      <c r="J10" s="90">
        <v>0.32</v>
      </c>
      <c r="K10" s="90">
        <v>0.32</v>
      </c>
      <c r="L10" s="90">
        <v>0.32</v>
      </c>
      <c r="M10" s="90">
        <v>0.32</v>
      </c>
      <c r="N10" s="90">
        <v>0.32</v>
      </c>
      <c r="O10" s="90">
        <v>0.32</v>
      </c>
      <c r="P10" s="90">
        <v>0.32</v>
      </c>
    </row>
    <row r="11" ht="15.75" customHeight="1">
      <c r="A11" s="104" t="s">
        <v>249</v>
      </c>
      <c r="B11" s="210">
        <f t="shared" si="6"/>
        <v>193.6</v>
      </c>
      <c r="C11" s="133">
        <f>AVERAGE(D11:P11)</f>
        <v>15.50769231</v>
      </c>
      <c r="D11" s="137">
        <f>E10*E9</f>
        <v>8</v>
      </c>
      <c r="E11" s="133">
        <f t="shared" ref="E11:P11" si="9">E10*E9</f>
        <v>8</v>
      </c>
      <c r="F11" s="133">
        <f t="shared" si="9"/>
        <v>9.6</v>
      </c>
      <c r="G11" s="133">
        <f t="shared" si="9"/>
        <v>12.8</v>
      </c>
      <c r="H11" s="133">
        <f t="shared" si="9"/>
        <v>14.08</v>
      </c>
      <c r="I11" s="133">
        <f t="shared" si="9"/>
        <v>15.36</v>
      </c>
      <c r="J11" s="133">
        <f t="shared" si="9"/>
        <v>16.64</v>
      </c>
      <c r="K11" s="133">
        <f t="shared" si="9"/>
        <v>17.92</v>
      </c>
      <c r="L11" s="133">
        <f t="shared" si="9"/>
        <v>19.2</v>
      </c>
      <c r="M11" s="133">
        <f t="shared" si="9"/>
        <v>20.48</v>
      </c>
      <c r="N11" s="133">
        <f t="shared" si="9"/>
        <v>21.12</v>
      </c>
      <c r="O11" s="133">
        <f t="shared" si="9"/>
        <v>19.2</v>
      </c>
      <c r="P11" s="133">
        <f t="shared" si="9"/>
        <v>19.2</v>
      </c>
    </row>
    <row r="12" ht="15.75" customHeight="1">
      <c r="A12" s="104" t="s">
        <v>238</v>
      </c>
      <c r="B12" s="82"/>
      <c r="D12" s="227">
        <v>7921.7</v>
      </c>
      <c r="E12" s="228">
        <f>D12</f>
        <v>7921.7</v>
      </c>
      <c r="F12" s="228">
        <v>9000.0</v>
      </c>
      <c r="G12" s="228">
        <v>9000.0</v>
      </c>
      <c r="H12" s="228">
        <v>10000.0</v>
      </c>
      <c r="I12" s="228">
        <v>10000.0</v>
      </c>
      <c r="J12" s="228">
        <v>11000.0</v>
      </c>
      <c r="K12" s="228">
        <f>J12</f>
        <v>11000</v>
      </c>
      <c r="L12" s="228">
        <v>12000.0</v>
      </c>
      <c r="M12" s="228">
        <f t="shared" ref="M12:P12" si="10">L12</f>
        <v>12000</v>
      </c>
      <c r="N12" s="228">
        <f t="shared" si="10"/>
        <v>12000</v>
      </c>
      <c r="O12" s="228">
        <f t="shared" si="10"/>
        <v>12000</v>
      </c>
      <c r="P12" s="228">
        <f t="shared" si="10"/>
        <v>12000</v>
      </c>
    </row>
    <row r="13" ht="15.75" customHeight="1">
      <c r="A13" s="206" t="s">
        <v>252</v>
      </c>
      <c r="B13" s="399">
        <f>SUM(E13:P13)</f>
        <v>2129933.6</v>
      </c>
      <c r="C13" s="322">
        <f>AVERAGE(E13:P13)</f>
        <v>177494.4667</v>
      </c>
      <c r="D13" s="400">
        <f>AVERAGE(E12:P12)</f>
        <v>10660.14167</v>
      </c>
      <c r="E13" s="322">
        <f t="shared" ref="E13:P13" si="11">E12*E11</f>
        <v>63373.6</v>
      </c>
      <c r="F13" s="322">
        <f t="shared" si="11"/>
        <v>86400</v>
      </c>
      <c r="G13" s="322">
        <f t="shared" si="11"/>
        <v>115200</v>
      </c>
      <c r="H13" s="322">
        <f t="shared" si="11"/>
        <v>140800</v>
      </c>
      <c r="I13" s="322">
        <f t="shared" si="11"/>
        <v>153600</v>
      </c>
      <c r="J13" s="322">
        <f t="shared" si="11"/>
        <v>183040</v>
      </c>
      <c r="K13" s="322">
        <f t="shared" si="11"/>
        <v>197120</v>
      </c>
      <c r="L13" s="322">
        <f t="shared" si="11"/>
        <v>230400</v>
      </c>
      <c r="M13" s="322">
        <f t="shared" si="11"/>
        <v>245760</v>
      </c>
      <c r="N13" s="322">
        <f t="shared" si="11"/>
        <v>253440</v>
      </c>
      <c r="O13" s="322">
        <f t="shared" si="11"/>
        <v>230400</v>
      </c>
      <c r="P13" s="322">
        <f t="shared" si="11"/>
        <v>230400</v>
      </c>
      <c r="Q13" s="299"/>
      <c r="R13" s="299"/>
      <c r="S13" s="299"/>
      <c r="T13" s="299"/>
      <c r="U13" s="299"/>
      <c r="V13" s="299"/>
      <c r="W13" s="299"/>
      <c r="X13" s="299"/>
      <c r="Y13" s="299"/>
      <c r="Z13" s="299"/>
    </row>
    <row r="14" ht="15.75" customHeight="1">
      <c r="A14" s="104" t="s">
        <v>261</v>
      </c>
      <c r="B14" s="98"/>
      <c r="C14" s="80"/>
      <c r="D14" s="211">
        <v>1.0</v>
      </c>
      <c r="E14" s="133">
        <f>E11</f>
        <v>8</v>
      </c>
      <c r="F14" s="133">
        <f t="shared" ref="F14:P14" si="12">F11+E14</f>
        <v>17.6</v>
      </c>
      <c r="G14" s="133">
        <f t="shared" si="12"/>
        <v>30.4</v>
      </c>
      <c r="H14" s="133">
        <f t="shared" si="12"/>
        <v>44.48</v>
      </c>
      <c r="I14" s="133">
        <f t="shared" si="12"/>
        <v>59.84</v>
      </c>
      <c r="J14" s="133">
        <f t="shared" si="12"/>
        <v>76.48</v>
      </c>
      <c r="K14" s="133">
        <f t="shared" si="12"/>
        <v>94.4</v>
      </c>
      <c r="L14" s="133">
        <f t="shared" si="12"/>
        <v>113.6</v>
      </c>
      <c r="M14" s="133">
        <f t="shared" si="12"/>
        <v>134.08</v>
      </c>
      <c r="N14" s="133">
        <f t="shared" si="12"/>
        <v>155.2</v>
      </c>
      <c r="O14" s="133">
        <f t="shared" si="12"/>
        <v>174.4</v>
      </c>
      <c r="P14" s="133">
        <f t="shared" si="12"/>
        <v>193.6</v>
      </c>
    </row>
    <row r="15" ht="15.75" customHeight="1">
      <c r="A15" s="104" t="s">
        <v>266</v>
      </c>
      <c r="B15" s="98"/>
      <c r="C15" s="154"/>
      <c r="D15" s="211"/>
      <c r="E15" s="154">
        <f>E13</f>
        <v>63373.6</v>
      </c>
      <c r="F15" s="154">
        <f t="shared" ref="F15:P15" si="13">F13+E15</f>
        <v>149773.6</v>
      </c>
      <c r="G15" s="154">
        <f t="shared" si="13"/>
        <v>264973.6</v>
      </c>
      <c r="H15" s="154">
        <f t="shared" si="13"/>
        <v>405773.6</v>
      </c>
      <c r="I15" s="154">
        <f t="shared" si="13"/>
        <v>559373.6</v>
      </c>
      <c r="J15" s="154">
        <f t="shared" si="13"/>
        <v>742413.6</v>
      </c>
      <c r="K15" s="154">
        <f t="shared" si="13"/>
        <v>939533.6</v>
      </c>
      <c r="L15" s="154">
        <f t="shared" si="13"/>
        <v>1169933.6</v>
      </c>
      <c r="M15" s="154">
        <f t="shared" si="13"/>
        <v>1415693.6</v>
      </c>
      <c r="N15" s="154">
        <f t="shared" si="13"/>
        <v>1669133.6</v>
      </c>
      <c r="O15" s="154">
        <f t="shared" si="13"/>
        <v>1899533.6</v>
      </c>
      <c r="P15" s="154">
        <f t="shared" si="13"/>
        <v>2129933.6</v>
      </c>
    </row>
    <row r="16" ht="15.75" customHeight="1">
      <c r="A16" s="104" t="s">
        <v>267</v>
      </c>
      <c r="B16" s="98"/>
      <c r="C16" s="80"/>
      <c r="D16" s="175">
        <f>AVERAGE(E13:P13)</f>
        <v>177494.4667</v>
      </c>
      <c r="E16" s="154">
        <f t="shared" ref="E16:P16" si="14">E4*$D$16</f>
        <v>45533.02233</v>
      </c>
      <c r="F16" s="154">
        <f t="shared" si="14"/>
        <v>96125.26936</v>
      </c>
      <c r="G16" s="154">
        <f t="shared" si="14"/>
        <v>27825.73587</v>
      </c>
      <c r="H16" s="154">
        <f t="shared" si="14"/>
        <v>192250.5387</v>
      </c>
      <c r="I16" s="154">
        <f t="shared" si="14"/>
        <v>161895.1905</v>
      </c>
      <c r="J16" s="154">
        <f t="shared" si="14"/>
        <v>194780.1511</v>
      </c>
      <c r="K16" s="154">
        <f t="shared" si="14"/>
        <v>177072.8646</v>
      </c>
      <c r="L16" s="154">
        <f t="shared" si="14"/>
        <v>265609.2969</v>
      </c>
      <c r="M16" s="154">
        <f t="shared" si="14"/>
        <v>207428.2128</v>
      </c>
      <c r="N16" s="154">
        <f t="shared" si="14"/>
        <v>283316.5834</v>
      </c>
      <c r="O16" s="154">
        <f t="shared" si="14"/>
        <v>250431.6228</v>
      </c>
      <c r="P16" s="154">
        <f t="shared" si="14"/>
        <v>227665.1116</v>
      </c>
    </row>
    <row r="17" ht="15.75" customHeight="1">
      <c r="A17" s="315" t="s">
        <v>284</v>
      </c>
      <c r="B17" s="401"/>
      <c r="C17" s="402">
        <v>0.4</v>
      </c>
      <c r="D17" s="403">
        <v>0.62</v>
      </c>
      <c r="E17" s="402">
        <f t="shared" ref="E17:P17" si="15">D17</f>
        <v>0.62</v>
      </c>
      <c r="F17" s="402">
        <f t="shared" si="15"/>
        <v>0.62</v>
      </c>
      <c r="G17" s="402">
        <f t="shared" si="15"/>
        <v>0.62</v>
      </c>
      <c r="H17" s="402">
        <f t="shared" si="15"/>
        <v>0.62</v>
      </c>
      <c r="I17" s="402">
        <f t="shared" si="15"/>
        <v>0.62</v>
      </c>
      <c r="J17" s="402">
        <f t="shared" si="15"/>
        <v>0.62</v>
      </c>
      <c r="K17" s="402">
        <f t="shared" si="15"/>
        <v>0.62</v>
      </c>
      <c r="L17" s="402">
        <f t="shared" si="15"/>
        <v>0.62</v>
      </c>
      <c r="M17" s="402">
        <f t="shared" si="15"/>
        <v>0.62</v>
      </c>
      <c r="N17" s="402">
        <f t="shared" si="15"/>
        <v>0.62</v>
      </c>
      <c r="O17" s="402">
        <f t="shared" si="15"/>
        <v>0.62</v>
      </c>
      <c r="P17" s="402">
        <f t="shared" si="15"/>
        <v>0.62</v>
      </c>
      <c r="Q17" s="316"/>
      <c r="R17" s="316">
        <f>900/7000</f>
        <v>0.1285714286</v>
      </c>
      <c r="S17" s="316"/>
      <c r="T17" s="316"/>
      <c r="U17" s="316"/>
      <c r="V17" s="316"/>
      <c r="W17" s="316"/>
      <c r="X17" s="316"/>
      <c r="Y17" s="316"/>
      <c r="Z17" s="316"/>
    </row>
    <row r="18" ht="15.75" customHeight="1">
      <c r="A18" s="104" t="s">
        <v>285</v>
      </c>
      <c r="B18" s="207">
        <f>SUM(E18:P18)</f>
        <v>1320558.832</v>
      </c>
      <c r="C18" s="154">
        <f>AVERAGE(E18:P18)</f>
        <v>110046.5693</v>
      </c>
      <c r="D18" s="175">
        <f t="shared" ref="D18:P18" si="16">D17*D13</f>
        <v>6609.287833</v>
      </c>
      <c r="E18" s="158">
        <f t="shared" si="16"/>
        <v>39291.632</v>
      </c>
      <c r="F18" s="158">
        <f t="shared" si="16"/>
        <v>53568</v>
      </c>
      <c r="G18" s="158">
        <f t="shared" si="16"/>
        <v>71424</v>
      </c>
      <c r="H18" s="158">
        <f t="shared" si="16"/>
        <v>87296</v>
      </c>
      <c r="I18" s="158">
        <f t="shared" si="16"/>
        <v>95232</v>
      </c>
      <c r="J18" s="158">
        <f t="shared" si="16"/>
        <v>113484.8</v>
      </c>
      <c r="K18" s="158">
        <f t="shared" si="16"/>
        <v>122214.4</v>
      </c>
      <c r="L18" s="158">
        <f t="shared" si="16"/>
        <v>142848</v>
      </c>
      <c r="M18" s="158">
        <f t="shared" si="16"/>
        <v>152371.2</v>
      </c>
      <c r="N18" s="158">
        <f t="shared" si="16"/>
        <v>157132.8</v>
      </c>
      <c r="O18" s="158">
        <f t="shared" si="16"/>
        <v>142848</v>
      </c>
      <c r="P18" s="158">
        <f t="shared" si="16"/>
        <v>142848</v>
      </c>
    </row>
    <row r="19" ht="15.75" customHeight="1">
      <c r="A19" s="163" t="s">
        <v>168</v>
      </c>
      <c r="B19" s="154" t="s">
        <v>156</v>
      </c>
      <c r="C19" s="90" t="s">
        <v>169</v>
      </c>
      <c r="D19" s="291" t="s">
        <v>286</v>
      </c>
      <c r="E19" s="292">
        <f t="shared" ref="E19:P19" si="17">E18/4</f>
        <v>9822.908</v>
      </c>
      <c r="F19" s="292">
        <f t="shared" si="17"/>
        <v>13392</v>
      </c>
      <c r="G19" s="292">
        <f t="shared" si="17"/>
        <v>17856</v>
      </c>
      <c r="H19" s="292">
        <f t="shared" si="17"/>
        <v>21824</v>
      </c>
      <c r="I19" s="292">
        <f t="shared" si="17"/>
        <v>23808</v>
      </c>
      <c r="J19" s="292">
        <f t="shared" si="17"/>
        <v>28371.2</v>
      </c>
      <c r="K19" s="292">
        <f t="shared" si="17"/>
        <v>30553.6</v>
      </c>
      <c r="L19" s="292">
        <f t="shared" si="17"/>
        <v>35712</v>
      </c>
      <c r="M19" s="292">
        <f t="shared" si="17"/>
        <v>38092.8</v>
      </c>
      <c r="N19" s="292">
        <f t="shared" si="17"/>
        <v>39283.2</v>
      </c>
      <c r="O19" s="292">
        <f t="shared" si="17"/>
        <v>35712</v>
      </c>
      <c r="P19" s="292">
        <f t="shared" si="17"/>
        <v>35712</v>
      </c>
    </row>
    <row r="20" ht="15.75" customHeight="1">
      <c r="A20" s="164" t="s">
        <v>174</v>
      </c>
      <c r="B20" s="90">
        <f>5125/8000</f>
        <v>0.640625</v>
      </c>
      <c r="C20" s="80">
        <f>3*4.28</f>
        <v>12.84</v>
      </c>
      <c r="D20" s="293" t="s">
        <v>287</v>
      </c>
      <c r="E20" s="292">
        <v>0.0</v>
      </c>
      <c r="F20" s="292">
        <f t="shared" ref="F20:P20" si="18">E19</f>
        <v>9822.908</v>
      </c>
      <c r="G20" s="292">
        <f t="shared" si="18"/>
        <v>13392</v>
      </c>
      <c r="H20" s="292">
        <f t="shared" si="18"/>
        <v>17856</v>
      </c>
      <c r="I20" s="292">
        <f t="shared" si="18"/>
        <v>21824</v>
      </c>
      <c r="J20" s="292">
        <f t="shared" si="18"/>
        <v>23808</v>
      </c>
      <c r="K20" s="292">
        <f t="shared" si="18"/>
        <v>28371.2</v>
      </c>
      <c r="L20" s="292">
        <f t="shared" si="18"/>
        <v>30553.6</v>
      </c>
      <c r="M20" s="292">
        <f t="shared" si="18"/>
        <v>35712</v>
      </c>
      <c r="N20" s="292">
        <f t="shared" si="18"/>
        <v>38092.8</v>
      </c>
      <c r="O20" s="292">
        <f t="shared" si="18"/>
        <v>39283.2</v>
      </c>
      <c r="P20" s="292">
        <f t="shared" si="18"/>
        <v>35712</v>
      </c>
    </row>
    <row r="21" ht="15.75" customHeight="1">
      <c r="A21" s="164" t="s">
        <v>288</v>
      </c>
      <c r="B21" s="90">
        <f>0.55</f>
        <v>0.55</v>
      </c>
      <c r="C21" s="154"/>
      <c r="D21" s="154" t="s">
        <v>289</v>
      </c>
      <c r="E21" s="292">
        <v>0.0</v>
      </c>
      <c r="F21" s="292"/>
      <c r="G21" s="292">
        <f t="shared" ref="G21:P21" si="19">F20</f>
        <v>9822.908</v>
      </c>
      <c r="H21" s="292">
        <f t="shared" si="19"/>
        <v>13392</v>
      </c>
      <c r="I21" s="292">
        <f t="shared" si="19"/>
        <v>17856</v>
      </c>
      <c r="J21" s="292">
        <f t="shared" si="19"/>
        <v>21824</v>
      </c>
      <c r="K21" s="292">
        <f t="shared" si="19"/>
        <v>23808</v>
      </c>
      <c r="L21" s="292">
        <f t="shared" si="19"/>
        <v>28371.2</v>
      </c>
      <c r="M21" s="292">
        <f t="shared" si="19"/>
        <v>30553.6</v>
      </c>
      <c r="N21" s="292">
        <f t="shared" si="19"/>
        <v>35712</v>
      </c>
      <c r="O21" s="292">
        <f t="shared" si="19"/>
        <v>38092.8</v>
      </c>
      <c r="P21" s="292">
        <f t="shared" si="19"/>
        <v>39283.2</v>
      </c>
    </row>
    <row r="22" ht="15.75" customHeight="1">
      <c r="A22" s="164" t="s">
        <v>176</v>
      </c>
      <c r="B22" s="130">
        <f>59%</f>
        <v>0.59</v>
      </c>
      <c r="D22" s="87" t="s">
        <v>290</v>
      </c>
      <c r="E22" s="292">
        <v>0.0</v>
      </c>
      <c r="F22" s="294"/>
      <c r="G22" s="294"/>
      <c r="H22" s="292">
        <f t="shared" ref="H22:P22" si="20">G21</f>
        <v>9822.908</v>
      </c>
      <c r="I22" s="292">
        <f t="shared" si="20"/>
        <v>13392</v>
      </c>
      <c r="J22" s="292">
        <f t="shared" si="20"/>
        <v>17856</v>
      </c>
      <c r="K22" s="292">
        <f t="shared" si="20"/>
        <v>21824</v>
      </c>
      <c r="L22" s="292">
        <f t="shared" si="20"/>
        <v>23808</v>
      </c>
      <c r="M22" s="292">
        <f t="shared" si="20"/>
        <v>28371.2</v>
      </c>
      <c r="N22" s="292">
        <f t="shared" si="20"/>
        <v>30553.6</v>
      </c>
      <c r="O22" s="292">
        <f t="shared" si="20"/>
        <v>35712</v>
      </c>
      <c r="P22" s="292">
        <f t="shared" si="20"/>
        <v>38092.8</v>
      </c>
    </row>
    <row r="23" ht="15.75" customHeight="1">
      <c r="D23" s="295" t="s">
        <v>291</v>
      </c>
      <c r="E23" s="296">
        <f t="shared" ref="E23:P23" si="21">SUM(E19:E22)</f>
        <v>9822.908</v>
      </c>
      <c r="F23" s="296">
        <f t="shared" si="21"/>
        <v>23214.908</v>
      </c>
      <c r="G23" s="296">
        <f t="shared" si="21"/>
        <v>41070.908</v>
      </c>
      <c r="H23" s="296">
        <f t="shared" si="21"/>
        <v>62894.908</v>
      </c>
      <c r="I23" s="296">
        <f t="shared" si="21"/>
        <v>76880</v>
      </c>
      <c r="J23" s="296">
        <f t="shared" si="21"/>
        <v>91859.2</v>
      </c>
      <c r="K23" s="296">
        <f t="shared" si="21"/>
        <v>104556.8</v>
      </c>
      <c r="L23" s="296">
        <f t="shared" si="21"/>
        <v>118444.8</v>
      </c>
      <c r="M23" s="296">
        <f t="shared" si="21"/>
        <v>132729.6</v>
      </c>
      <c r="N23" s="296">
        <f t="shared" si="21"/>
        <v>143641.6</v>
      </c>
      <c r="O23" s="296">
        <f t="shared" si="21"/>
        <v>148800</v>
      </c>
      <c r="P23" s="296">
        <f t="shared" si="21"/>
        <v>148800</v>
      </c>
    </row>
    <row r="24" ht="15.75" customHeight="1">
      <c r="B24" s="130">
        <f>B26/B13</f>
        <v>0.710095203</v>
      </c>
      <c r="D24" s="295" t="s">
        <v>292</v>
      </c>
      <c r="E24" s="296">
        <v>58000.0</v>
      </c>
      <c r="F24" s="296">
        <v>39000.0</v>
      </c>
      <c r="G24" s="296">
        <v>25000.0</v>
      </c>
      <c r="H24" s="296">
        <v>5500.0</v>
      </c>
      <c r="I24" s="296"/>
      <c r="J24" s="296"/>
      <c r="K24" s="296"/>
      <c r="L24" s="296"/>
      <c r="M24" s="296"/>
      <c r="N24" s="296"/>
      <c r="O24" s="296"/>
      <c r="P24" s="296"/>
    </row>
    <row r="25" ht="15.75" customHeight="1">
      <c r="A25" s="299" t="s">
        <v>293</v>
      </c>
      <c r="B25" s="300">
        <f t="shared" ref="B25:B26" si="23">SUM(E25:P25)</f>
        <v>2320218.761</v>
      </c>
      <c r="C25" s="299"/>
      <c r="D25" s="298">
        <v>28000.0</v>
      </c>
      <c r="E25" s="298">
        <f t="shared" ref="E25:P25" si="22">SUM(E23:E24)/E17+$D$25</f>
        <v>137391.7871</v>
      </c>
      <c r="F25" s="298">
        <f t="shared" si="22"/>
        <v>128346.6258</v>
      </c>
      <c r="G25" s="298">
        <f t="shared" si="22"/>
        <v>134565.9806</v>
      </c>
      <c r="H25" s="298">
        <f t="shared" si="22"/>
        <v>138314.3677</v>
      </c>
      <c r="I25" s="298">
        <f t="shared" si="22"/>
        <v>152000</v>
      </c>
      <c r="J25" s="298">
        <f t="shared" si="22"/>
        <v>176160</v>
      </c>
      <c r="K25" s="298">
        <f t="shared" si="22"/>
        <v>196640</v>
      </c>
      <c r="L25" s="298">
        <f t="shared" si="22"/>
        <v>219040</v>
      </c>
      <c r="M25" s="298">
        <f t="shared" si="22"/>
        <v>242080</v>
      </c>
      <c r="N25" s="298">
        <f t="shared" si="22"/>
        <v>259680</v>
      </c>
      <c r="O25" s="298">
        <f t="shared" si="22"/>
        <v>268000</v>
      </c>
      <c r="P25" s="298">
        <f t="shared" si="22"/>
        <v>268000</v>
      </c>
      <c r="Q25" s="299"/>
      <c r="R25" s="299"/>
      <c r="S25" s="299"/>
      <c r="T25" s="299"/>
      <c r="U25" s="299"/>
      <c r="V25" s="299"/>
      <c r="W25" s="299"/>
      <c r="X25" s="299"/>
      <c r="Y25" s="299"/>
      <c r="Z25" s="299"/>
    </row>
    <row r="26" ht="19.5" customHeight="1">
      <c r="A26" s="301" t="s">
        <v>294</v>
      </c>
      <c r="B26" s="302">
        <f t="shared" si="23"/>
        <v>1512455.632</v>
      </c>
      <c r="C26" s="303" t="s">
        <v>295</v>
      </c>
      <c r="D26" s="304">
        <f>28000*0.84</f>
        <v>23520</v>
      </c>
      <c r="E26" s="305">
        <f t="shared" ref="E26:P26" si="24">$D$26+E24+E23</f>
        <v>91342.908</v>
      </c>
      <c r="F26" s="305">
        <f t="shared" si="24"/>
        <v>85734.908</v>
      </c>
      <c r="G26" s="305">
        <f t="shared" si="24"/>
        <v>89590.908</v>
      </c>
      <c r="H26" s="305">
        <f t="shared" si="24"/>
        <v>91914.908</v>
      </c>
      <c r="I26" s="305">
        <f t="shared" si="24"/>
        <v>100400</v>
      </c>
      <c r="J26" s="305">
        <f t="shared" si="24"/>
        <v>115379.2</v>
      </c>
      <c r="K26" s="305">
        <f t="shared" si="24"/>
        <v>128076.8</v>
      </c>
      <c r="L26" s="305">
        <f t="shared" si="24"/>
        <v>141964.8</v>
      </c>
      <c r="M26" s="305">
        <f t="shared" si="24"/>
        <v>156249.6</v>
      </c>
      <c r="N26" s="305">
        <f t="shared" si="24"/>
        <v>167161.6</v>
      </c>
      <c r="O26" s="305">
        <f t="shared" si="24"/>
        <v>172320</v>
      </c>
      <c r="P26" s="305">
        <f t="shared" si="24"/>
        <v>172320</v>
      </c>
    </row>
    <row r="27" ht="15.75" customHeight="1">
      <c r="A27" s="104" t="s">
        <v>296</v>
      </c>
      <c r="B27" s="207">
        <f>'Premissas gerais'!B99</f>
        <v>85921</v>
      </c>
      <c r="C27" s="154"/>
      <c r="D27" s="175"/>
      <c r="E27" s="154">
        <f>B27</f>
        <v>85921</v>
      </c>
      <c r="F27" s="154">
        <f t="shared" ref="F27:P27" si="25">E27</f>
        <v>85921</v>
      </c>
      <c r="G27" s="154">
        <f t="shared" si="25"/>
        <v>85921</v>
      </c>
      <c r="H27" s="154">
        <f t="shared" si="25"/>
        <v>85921</v>
      </c>
      <c r="I27" s="154">
        <f t="shared" si="25"/>
        <v>85921</v>
      </c>
      <c r="J27" s="154">
        <f t="shared" si="25"/>
        <v>85921</v>
      </c>
      <c r="K27" s="154">
        <f t="shared" si="25"/>
        <v>85921</v>
      </c>
      <c r="L27" s="154">
        <f t="shared" si="25"/>
        <v>85921</v>
      </c>
      <c r="M27" s="154">
        <f t="shared" si="25"/>
        <v>85921</v>
      </c>
      <c r="N27" s="154">
        <f t="shared" si="25"/>
        <v>85921</v>
      </c>
      <c r="O27" s="154">
        <f t="shared" si="25"/>
        <v>85921</v>
      </c>
      <c r="P27" s="154">
        <f t="shared" si="25"/>
        <v>85921</v>
      </c>
    </row>
    <row r="28" ht="15.75" customHeight="1">
      <c r="A28" s="306" t="s">
        <v>297</v>
      </c>
      <c r="B28" s="307"/>
      <c r="C28" s="308">
        <f>D29/B25</f>
        <v>0.2074820013</v>
      </c>
      <c r="D28" s="309">
        <f>AVERAGE(E28:P28)</f>
        <v>40116.96933</v>
      </c>
      <c r="E28" s="292">
        <f t="shared" ref="E28:P28" si="26">E26-E27</f>
        <v>5421.908</v>
      </c>
      <c r="F28" s="292">
        <f t="shared" si="26"/>
        <v>-186.092</v>
      </c>
      <c r="G28" s="292">
        <f t="shared" si="26"/>
        <v>3669.908</v>
      </c>
      <c r="H28" s="292">
        <f t="shared" si="26"/>
        <v>5993.908</v>
      </c>
      <c r="I28" s="292">
        <f t="shared" si="26"/>
        <v>14479</v>
      </c>
      <c r="J28" s="292">
        <f t="shared" si="26"/>
        <v>29458.2</v>
      </c>
      <c r="K28" s="292">
        <f t="shared" si="26"/>
        <v>42155.8</v>
      </c>
      <c r="L28" s="292">
        <f t="shared" si="26"/>
        <v>56043.8</v>
      </c>
      <c r="M28" s="292">
        <f t="shared" si="26"/>
        <v>70328.6</v>
      </c>
      <c r="N28" s="292">
        <f t="shared" si="26"/>
        <v>81240.6</v>
      </c>
      <c r="O28" s="292">
        <f t="shared" si="26"/>
        <v>86399</v>
      </c>
      <c r="P28" s="292">
        <f t="shared" si="26"/>
        <v>86399</v>
      </c>
      <c r="Q28" s="306"/>
      <c r="R28" s="306"/>
      <c r="S28" s="306"/>
      <c r="T28" s="306"/>
      <c r="U28" s="306"/>
      <c r="V28" s="306"/>
      <c r="W28" s="306"/>
      <c r="X28" s="306"/>
      <c r="Y28" s="306"/>
      <c r="Z28" s="306"/>
    </row>
    <row r="29" ht="15.75" customHeight="1">
      <c r="A29" s="311" t="s">
        <v>298</v>
      </c>
      <c r="B29" s="82"/>
      <c r="D29" s="227">
        <f>P29</f>
        <v>481403.632</v>
      </c>
      <c r="E29" s="154">
        <f>E28+C29</f>
        <v>5421.908</v>
      </c>
      <c r="F29" s="154">
        <f t="shared" ref="F29:P29" si="27">F28+E29</f>
        <v>5235.816</v>
      </c>
      <c r="G29" s="154">
        <f t="shared" si="27"/>
        <v>8905.724</v>
      </c>
      <c r="H29" s="154">
        <f t="shared" si="27"/>
        <v>14899.632</v>
      </c>
      <c r="I29" s="154">
        <f t="shared" si="27"/>
        <v>29378.632</v>
      </c>
      <c r="J29" s="154">
        <f t="shared" si="27"/>
        <v>58836.832</v>
      </c>
      <c r="K29" s="154">
        <f t="shared" si="27"/>
        <v>100992.632</v>
      </c>
      <c r="L29" s="154">
        <f t="shared" si="27"/>
        <v>157036.432</v>
      </c>
      <c r="M29" s="154">
        <f t="shared" si="27"/>
        <v>227365.032</v>
      </c>
      <c r="N29" s="154">
        <f t="shared" si="27"/>
        <v>308605.632</v>
      </c>
      <c r="O29" s="154">
        <f t="shared" si="27"/>
        <v>395004.632</v>
      </c>
      <c r="P29" s="154">
        <f t="shared" si="27"/>
        <v>481403.632</v>
      </c>
    </row>
    <row r="30" ht="15.75" customHeight="1">
      <c r="A30" s="164"/>
      <c r="B30" s="82"/>
      <c r="D30" s="227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</row>
    <row r="31" ht="15.75" customHeight="1">
      <c r="A31" s="164"/>
      <c r="B31" s="82"/>
      <c r="D31" s="227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</row>
    <row r="32" ht="15.75" customHeight="1">
      <c r="A32" s="164"/>
      <c r="B32" s="82"/>
      <c r="D32" s="227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</row>
    <row r="33" ht="15.75" customHeight="1">
      <c r="A33" s="81" t="s">
        <v>299</v>
      </c>
      <c r="B33" s="98"/>
      <c r="C33" s="80"/>
      <c r="D33" s="211"/>
      <c r="E33" s="80">
        <v>0.0</v>
      </c>
      <c r="F33" s="80">
        <v>0.0</v>
      </c>
      <c r="G33" s="80">
        <v>1.0</v>
      </c>
      <c r="H33" s="80"/>
      <c r="I33" s="80"/>
      <c r="J33" s="80"/>
      <c r="K33" s="80"/>
      <c r="L33" s="80"/>
      <c r="M33" s="80"/>
      <c r="N33" s="80"/>
      <c r="O33" s="80"/>
      <c r="P33" s="80"/>
    </row>
    <row r="34" ht="15.75" customHeight="1">
      <c r="A34" s="104" t="s">
        <v>238</v>
      </c>
      <c r="B34" s="98"/>
      <c r="C34" s="80"/>
      <c r="D34" s="175">
        <v>100.0</v>
      </c>
      <c r="E34" s="154">
        <f t="shared" ref="E34:P34" si="28">D34</f>
        <v>100</v>
      </c>
      <c r="F34" s="154">
        <f t="shared" si="28"/>
        <v>100</v>
      </c>
      <c r="G34" s="154">
        <f t="shared" si="28"/>
        <v>100</v>
      </c>
      <c r="H34" s="154">
        <f t="shared" si="28"/>
        <v>100</v>
      </c>
      <c r="I34" s="154">
        <f t="shared" si="28"/>
        <v>100</v>
      </c>
      <c r="J34" s="154">
        <f t="shared" si="28"/>
        <v>100</v>
      </c>
      <c r="K34" s="154">
        <f t="shared" si="28"/>
        <v>100</v>
      </c>
      <c r="L34" s="154">
        <f t="shared" si="28"/>
        <v>100</v>
      </c>
      <c r="M34" s="154">
        <f t="shared" si="28"/>
        <v>100</v>
      </c>
      <c r="N34" s="154">
        <f t="shared" si="28"/>
        <v>100</v>
      </c>
      <c r="O34" s="154">
        <f t="shared" si="28"/>
        <v>100</v>
      </c>
      <c r="P34" s="154">
        <f t="shared" si="28"/>
        <v>100</v>
      </c>
    </row>
    <row r="35" ht="15.75" customHeight="1">
      <c r="A35" s="104" t="s">
        <v>300</v>
      </c>
      <c r="B35" s="98"/>
      <c r="C35" s="80"/>
      <c r="D35" s="155">
        <v>0.2</v>
      </c>
      <c r="E35" s="90">
        <f t="shared" ref="E35:P35" si="29">D35</f>
        <v>0.2</v>
      </c>
      <c r="F35" s="90">
        <f t="shared" si="29"/>
        <v>0.2</v>
      </c>
      <c r="G35" s="90">
        <f t="shared" si="29"/>
        <v>0.2</v>
      </c>
      <c r="H35" s="90">
        <f t="shared" si="29"/>
        <v>0.2</v>
      </c>
      <c r="I35" s="90">
        <f t="shared" si="29"/>
        <v>0.2</v>
      </c>
      <c r="J35" s="90">
        <f t="shared" si="29"/>
        <v>0.2</v>
      </c>
      <c r="K35" s="90">
        <f t="shared" si="29"/>
        <v>0.2</v>
      </c>
      <c r="L35" s="90">
        <f t="shared" si="29"/>
        <v>0.2</v>
      </c>
      <c r="M35" s="90">
        <f t="shared" si="29"/>
        <v>0.2</v>
      </c>
      <c r="N35" s="90">
        <f t="shared" si="29"/>
        <v>0.2</v>
      </c>
      <c r="O35" s="90">
        <f t="shared" si="29"/>
        <v>0.2</v>
      </c>
      <c r="P35" s="90">
        <f t="shared" si="29"/>
        <v>0.2</v>
      </c>
    </row>
    <row r="36" ht="15.75" customHeight="1">
      <c r="A36" s="104" t="s">
        <v>301</v>
      </c>
      <c r="B36" s="98"/>
      <c r="C36" s="80"/>
      <c r="D36" s="211"/>
      <c r="E36" s="80">
        <f t="shared" ref="E36:P36" si="30">E35*E11</f>
        <v>1.6</v>
      </c>
      <c r="F36" s="80">
        <f t="shared" si="30"/>
        <v>1.92</v>
      </c>
      <c r="G36" s="80">
        <f t="shared" si="30"/>
        <v>2.56</v>
      </c>
      <c r="H36" s="80">
        <f t="shared" si="30"/>
        <v>2.816</v>
      </c>
      <c r="I36" s="80">
        <f t="shared" si="30"/>
        <v>3.072</v>
      </c>
      <c r="J36" s="80">
        <f t="shared" si="30"/>
        <v>3.328</v>
      </c>
      <c r="K36" s="80">
        <f t="shared" si="30"/>
        <v>3.584</v>
      </c>
      <c r="L36" s="80">
        <f t="shared" si="30"/>
        <v>3.84</v>
      </c>
      <c r="M36" s="80">
        <f t="shared" si="30"/>
        <v>4.096</v>
      </c>
      <c r="N36" s="80">
        <f t="shared" si="30"/>
        <v>4.224</v>
      </c>
      <c r="O36" s="80">
        <f t="shared" si="30"/>
        <v>3.84</v>
      </c>
      <c r="P36" s="80">
        <f t="shared" si="30"/>
        <v>3.84</v>
      </c>
    </row>
    <row r="37" ht="15.75" customHeight="1">
      <c r="A37" s="104" t="s">
        <v>302</v>
      </c>
      <c r="B37" s="98"/>
      <c r="C37" s="80"/>
      <c r="D37" s="211" t="s">
        <v>303</v>
      </c>
      <c r="E37" s="80">
        <v>0.0</v>
      </c>
      <c r="F37" s="80">
        <v>0.0</v>
      </c>
      <c r="G37" s="80">
        <v>0.0</v>
      </c>
      <c r="H37" s="80">
        <f t="shared" ref="H37:P37" si="31">H36+G37</f>
        <v>2.816</v>
      </c>
      <c r="I37" s="80">
        <f t="shared" si="31"/>
        <v>5.888</v>
      </c>
      <c r="J37" s="80">
        <f t="shared" si="31"/>
        <v>9.216</v>
      </c>
      <c r="K37" s="80">
        <f t="shared" si="31"/>
        <v>12.8</v>
      </c>
      <c r="L37" s="80">
        <f t="shared" si="31"/>
        <v>16.64</v>
      </c>
      <c r="M37" s="80">
        <f t="shared" si="31"/>
        <v>20.736</v>
      </c>
      <c r="N37" s="80">
        <f t="shared" si="31"/>
        <v>24.96</v>
      </c>
      <c r="O37" s="80">
        <f t="shared" si="31"/>
        <v>28.8</v>
      </c>
      <c r="P37" s="80">
        <f t="shared" si="31"/>
        <v>32.64</v>
      </c>
    </row>
    <row r="38" ht="15.75" customHeight="1">
      <c r="A38" s="206" t="s">
        <v>304</v>
      </c>
      <c r="B38" s="312"/>
      <c r="C38" s="313"/>
      <c r="D38" s="314"/>
      <c r="E38" s="298">
        <f t="shared" ref="E38:P38" si="32">E37*E34</f>
        <v>0</v>
      </c>
      <c r="F38" s="298">
        <f t="shared" si="32"/>
        <v>0</v>
      </c>
      <c r="G38" s="298">
        <f t="shared" si="32"/>
        <v>0</v>
      </c>
      <c r="H38" s="298">
        <f t="shared" si="32"/>
        <v>281.6</v>
      </c>
      <c r="I38" s="298">
        <f t="shared" si="32"/>
        <v>588.8</v>
      </c>
      <c r="J38" s="298">
        <f t="shared" si="32"/>
        <v>921.6</v>
      </c>
      <c r="K38" s="298">
        <f t="shared" si="32"/>
        <v>1280</v>
      </c>
      <c r="L38" s="298">
        <f t="shared" si="32"/>
        <v>1664</v>
      </c>
      <c r="M38" s="298">
        <f t="shared" si="32"/>
        <v>2073.6</v>
      </c>
      <c r="N38" s="298">
        <f t="shared" si="32"/>
        <v>2496</v>
      </c>
      <c r="O38" s="298">
        <f t="shared" si="32"/>
        <v>2880</v>
      </c>
      <c r="P38" s="298">
        <f t="shared" si="32"/>
        <v>3264</v>
      </c>
      <c r="Q38" s="299"/>
      <c r="R38" s="299"/>
      <c r="S38" s="299"/>
      <c r="T38" s="299"/>
      <c r="U38" s="299"/>
      <c r="V38" s="299"/>
      <c r="W38" s="299"/>
      <c r="X38" s="299"/>
      <c r="Y38" s="299"/>
      <c r="Z38" s="299"/>
    </row>
    <row r="39" ht="15.75" customHeight="1">
      <c r="A39" s="104" t="s">
        <v>305</v>
      </c>
      <c r="B39" s="80"/>
      <c r="C39" s="80"/>
      <c r="D39" s="211"/>
      <c r="E39" s="88">
        <f>E38</f>
        <v>0</v>
      </c>
      <c r="F39" s="88">
        <f t="shared" ref="F39:P39" si="33">F38+E39</f>
        <v>0</v>
      </c>
      <c r="G39" s="88">
        <f t="shared" si="33"/>
        <v>0</v>
      </c>
      <c r="H39" s="88">
        <f t="shared" si="33"/>
        <v>281.6</v>
      </c>
      <c r="I39" s="88">
        <f t="shared" si="33"/>
        <v>870.4</v>
      </c>
      <c r="J39" s="88">
        <f t="shared" si="33"/>
        <v>1792</v>
      </c>
      <c r="K39" s="88">
        <f t="shared" si="33"/>
        <v>3072</v>
      </c>
      <c r="L39" s="88">
        <f t="shared" si="33"/>
        <v>4736</v>
      </c>
      <c r="M39" s="88">
        <f t="shared" si="33"/>
        <v>6809.6</v>
      </c>
      <c r="N39" s="88">
        <f t="shared" si="33"/>
        <v>9305.6</v>
      </c>
      <c r="O39" s="88">
        <f t="shared" si="33"/>
        <v>12185.6</v>
      </c>
      <c r="P39" s="88">
        <f t="shared" si="33"/>
        <v>15449.6</v>
      </c>
      <c r="Q39" s="164"/>
      <c r="R39" s="164"/>
      <c r="S39" s="164"/>
      <c r="T39" s="164"/>
      <c r="U39" s="164"/>
      <c r="V39" s="164"/>
      <c r="W39" s="164"/>
      <c r="X39" s="164"/>
      <c r="Y39" s="164"/>
      <c r="Z39" s="164"/>
    </row>
    <row r="40" ht="15.75" customHeight="1">
      <c r="A40" s="104"/>
      <c r="B40" s="80"/>
      <c r="C40" s="80"/>
      <c r="D40" s="211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164"/>
      <c r="R40" s="164"/>
      <c r="S40" s="164"/>
      <c r="T40" s="164"/>
      <c r="U40" s="164"/>
      <c r="V40" s="164"/>
      <c r="W40" s="164"/>
      <c r="X40" s="164"/>
      <c r="Y40" s="164"/>
      <c r="Z40" s="164"/>
    </row>
    <row r="41" ht="15.75" customHeight="1">
      <c r="A41" s="104"/>
      <c r="B41" s="80"/>
      <c r="C41" s="80"/>
      <c r="D41" s="211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164"/>
      <c r="R41" s="164"/>
      <c r="S41" s="164"/>
      <c r="T41" s="164"/>
      <c r="U41" s="164"/>
      <c r="V41" s="164"/>
      <c r="W41" s="164"/>
      <c r="X41" s="164"/>
      <c r="Y41" s="164"/>
      <c r="Z41" s="164"/>
    </row>
    <row r="42" ht="15.75" customHeight="1">
      <c r="A42" s="163" t="s">
        <v>306</v>
      </c>
      <c r="B42" s="80"/>
      <c r="C42" s="80"/>
      <c r="D42" s="175">
        <v>200.0</v>
      </c>
      <c r="E42" s="88">
        <f t="shared" ref="E42:P42" si="34">D42</f>
        <v>200</v>
      </c>
      <c r="F42" s="88">
        <f t="shared" si="34"/>
        <v>200</v>
      </c>
      <c r="G42" s="88">
        <f t="shared" si="34"/>
        <v>200</v>
      </c>
      <c r="H42" s="88">
        <f t="shared" si="34"/>
        <v>200</v>
      </c>
      <c r="I42" s="88">
        <f t="shared" si="34"/>
        <v>200</v>
      </c>
      <c r="J42" s="88">
        <f t="shared" si="34"/>
        <v>200</v>
      </c>
      <c r="K42" s="88">
        <f t="shared" si="34"/>
        <v>200</v>
      </c>
      <c r="L42" s="88">
        <f t="shared" si="34"/>
        <v>200</v>
      </c>
      <c r="M42" s="88">
        <f t="shared" si="34"/>
        <v>200</v>
      </c>
      <c r="N42" s="88">
        <f t="shared" si="34"/>
        <v>200</v>
      </c>
      <c r="O42" s="88">
        <f t="shared" si="34"/>
        <v>200</v>
      </c>
      <c r="P42" s="88">
        <f t="shared" si="34"/>
        <v>200</v>
      </c>
    </row>
    <row r="43" ht="15.75" customHeight="1">
      <c r="A43" s="104" t="s">
        <v>300</v>
      </c>
      <c r="D43" s="155">
        <v>0.1</v>
      </c>
      <c r="E43" s="90">
        <f t="shared" ref="E43:P43" si="35">D43</f>
        <v>0.1</v>
      </c>
      <c r="F43" s="90">
        <f t="shared" si="35"/>
        <v>0.1</v>
      </c>
      <c r="G43" s="90">
        <f t="shared" si="35"/>
        <v>0.1</v>
      </c>
      <c r="H43" s="90">
        <f t="shared" si="35"/>
        <v>0.1</v>
      </c>
      <c r="I43" s="90">
        <f t="shared" si="35"/>
        <v>0.1</v>
      </c>
      <c r="J43" s="90">
        <f t="shared" si="35"/>
        <v>0.1</v>
      </c>
      <c r="K43" s="90">
        <f t="shared" si="35"/>
        <v>0.1</v>
      </c>
      <c r="L43" s="90">
        <f t="shared" si="35"/>
        <v>0.1</v>
      </c>
      <c r="M43" s="90">
        <f t="shared" si="35"/>
        <v>0.1</v>
      </c>
      <c r="N43" s="90">
        <f t="shared" si="35"/>
        <v>0.1</v>
      </c>
      <c r="O43" s="90">
        <f t="shared" si="35"/>
        <v>0.1</v>
      </c>
      <c r="P43" s="90">
        <f t="shared" si="35"/>
        <v>0.1</v>
      </c>
    </row>
    <row r="44" ht="15.75" customHeight="1">
      <c r="A44" s="104" t="s">
        <v>301</v>
      </c>
      <c r="D44" s="211"/>
      <c r="E44" s="80">
        <f t="shared" ref="E44:P44" si="36">E43*E11</f>
        <v>0.8</v>
      </c>
      <c r="F44" s="80">
        <f t="shared" si="36"/>
        <v>0.96</v>
      </c>
      <c r="G44" s="80">
        <f t="shared" si="36"/>
        <v>1.28</v>
      </c>
      <c r="H44" s="80">
        <f t="shared" si="36"/>
        <v>1.408</v>
      </c>
      <c r="I44" s="80">
        <f t="shared" si="36"/>
        <v>1.536</v>
      </c>
      <c r="J44" s="80">
        <f t="shared" si="36"/>
        <v>1.664</v>
      </c>
      <c r="K44" s="80">
        <f t="shared" si="36"/>
        <v>1.792</v>
      </c>
      <c r="L44" s="80">
        <f t="shared" si="36"/>
        <v>1.92</v>
      </c>
      <c r="M44" s="80">
        <f t="shared" si="36"/>
        <v>2.048</v>
      </c>
      <c r="N44" s="80">
        <f t="shared" si="36"/>
        <v>2.112</v>
      </c>
      <c r="O44" s="80">
        <f t="shared" si="36"/>
        <v>1.92</v>
      </c>
      <c r="P44" s="80">
        <f t="shared" si="36"/>
        <v>1.92</v>
      </c>
    </row>
    <row r="45" ht="15.75" customHeight="1">
      <c r="A45" s="104" t="s">
        <v>302</v>
      </c>
      <c r="D45" s="211"/>
      <c r="E45" s="80">
        <v>0.0</v>
      </c>
      <c r="F45" s="80">
        <v>0.0</v>
      </c>
      <c r="G45" s="80">
        <v>0.0</v>
      </c>
      <c r="H45" s="80">
        <v>0.0</v>
      </c>
      <c r="I45" s="80">
        <v>0.0</v>
      </c>
      <c r="J45" s="80">
        <f t="shared" ref="J45:P45" si="37">J44+I45</f>
        <v>1.664</v>
      </c>
      <c r="K45" s="80">
        <f t="shared" si="37"/>
        <v>3.456</v>
      </c>
      <c r="L45" s="80">
        <f t="shared" si="37"/>
        <v>5.376</v>
      </c>
      <c r="M45" s="80">
        <f t="shared" si="37"/>
        <v>7.424</v>
      </c>
      <c r="N45" s="80">
        <f t="shared" si="37"/>
        <v>9.536</v>
      </c>
      <c r="O45" s="80">
        <f t="shared" si="37"/>
        <v>11.456</v>
      </c>
      <c r="P45" s="80">
        <f t="shared" si="37"/>
        <v>13.376</v>
      </c>
    </row>
    <row r="46" ht="15.75" customHeight="1">
      <c r="A46" s="315" t="s">
        <v>304</v>
      </c>
      <c r="B46" s="316"/>
      <c r="C46" s="316"/>
      <c r="D46" s="317"/>
      <c r="E46" s="318">
        <f t="shared" ref="E46:I46" si="38">B45*B42</f>
        <v>0</v>
      </c>
      <c r="F46" s="318">
        <f t="shared" si="38"/>
        <v>0</v>
      </c>
      <c r="G46" s="318">
        <f t="shared" si="38"/>
        <v>0</v>
      </c>
      <c r="H46" s="318">
        <f t="shared" si="38"/>
        <v>0</v>
      </c>
      <c r="I46" s="318">
        <f t="shared" si="38"/>
        <v>0</v>
      </c>
      <c r="J46" s="318">
        <f t="shared" ref="J46:S46" si="39">J45*J42</f>
        <v>332.8</v>
      </c>
      <c r="K46" s="318">
        <f t="shared" si="39"/>
        <v>691.2</v>
      </c>
      <c r="L46" s="318">
        <f t="shared" si="39"/>
        <v>1075.2</v>
      </c>
      <c r="M46" s="318">
        <f t="shared" si="39"/>
        <v>1484.8</v>
      </c>
      <c r="N46" s="318">
        <f t="shared" si="39"/>
        <v>1907.2</v>
      </c>
      <c r="O46" s="318">
        <f t="shared" si="39"/>
        <v>2291.2</v>
      </c>
      <c r="P46" s="318">
        <f t="shared" si="39"/>
        <v>2675.2</v>
      </c>
      <c r="Q46" s="318">
        <f t="shared" si="39"/>
        <v>0</v>
      </c>
      <c r="R46" s="318">
        <f t="shared" si="39"/>
        <v>0</v>
      </c>
      <c r="S46" s="318">
        <f t="shared" si="39"/>
        <v>0</v>
      </c>
      <c r="T46" s="316"/>
      <c r="U46" s="316"/>
      <c r="V46" s="316"/>
      <c r="W46" s="316"/>
      <c r="X46" s="316"/>
      <c r="Y46" s="316"/>
      <c r="Z46" s="316"/>
    </row>
    <row r="47" ht="15.75" customHeight="1">
      <c r="A47" s="104" t="s">
        <v>305</v>
      </c>
      <c r="D47" s="211"/>
      <c r="E47" s="154">
        <f t="shared" ref="E47:H47" si="40">E46</f>
        <v>0</v>
      </c>
      <c r="F47" s="154">
        <f t="shared" si="40"/>
        <v>0</v>
      </c>
      <c r="G47" s="154">
        <f t="shared" si="40"/>
        <v>0</v>
      </c>
      <c r="H47" s="154">
        <f t="shared" si="40"/>
        <v>0</v>
      </c>
      <c r="I47" s="154">
        <f t="shared" ref="I47:S47" si="41">I46+H47</f>
        <v>0</v>
      </c>
      <c r="J47" s="154">
        <f t="shared" si="41"/>
        <v>332.8</v>
      </c>
      <c r="K47" s="154">
        <f t="shared" si="41"/>
        <v>1024</v>
      </c>
      <c r="L47" s="154">
        <f t="shared" si="41"/>
        <v>2099.2</v>
      </c>
      <c r="M47" s="154">
        <f t="shared" si="41"/>
        <v>3584</v>
      </c>
      <c r="N47" s="154">
        <f t="shared" si="41"/>
        <v>5491.2</v>
      </c>
      <c r="O47" s="154">
        <f t="shared" si="41"/>
        <v>7782.4</v>
      </c>
      <c r="P47" s="154">
        <f t="shared" si="41"/>
        <v>10457.6</v>
      </c>
      <c r="Q47" s="154">
        <f t="shared" si="41"/>
        <v>10457.6</v>
      </c>
      <c r="R47" s="154">
        <f t="shared" si="41"/>
        <v>10457.6</v>
      </c>
      <c r="S47" s="154">
        <f t="shared" si="41"/>
        <v>10457.6</v>
      </c>
    </row>
    <row r="48" ht="15.75" customHeight="1">
      <c r="A48" s="104" t="s">
        <v>51</v>
      </c>
      <c r="D48" s="175">
        <f>3000+3*1500+5000</f>
        <v>12500</v>
      </c>
      <c r="E48" s="80"/>
      <c r="F48" s="80"/>
      <c r="G48" s="80"/>
      <c r="H48" s="154"/>
      <c r="I48" s="154"/>
      <c r="J48" s="154">
        <f t="shared" ref="J48:S48" si="42">$D$48*J44</f>
        <v>20800</v>
      </c>
      <c r="K48" s="154">
        <f t="shared" si="42"/>
        <v>22400</v>
      </c>
      <c r="L48" s="154">
        <f t="shared" si="42"/>
        <v>24000</v>
      </c>
      <c r="M48" s="154">
        <f t="shared" si="42"/>
        <v>25600</v>
      </c>
      <c r="N48" s="154">
        <f t="shared" si="42"/>
        <v>26400</v>
      </c>
      <c r="O48" s="154">
        <f t="shared" si="42"/>
        <v>24000</v>
      </c>
      <c r="P48" s="154">
        <f t="shared" si="42"/>
        <v>24000</v>
      </c>
      <c r="Q48" s="154">
        <f t="shared" si="42"/>
        <v>0</v>
      </c>
      <c r="R48" s="154">
        <f t="shared" si="42"/>
        <v>0</v>
      </c>
      <c r="S48" s="154">
        <f t="shared" si="42"/>
        <v>0</v>
      </c>
    </row>
    <row r="49" ht="15.75" customHeight="1">
      <c r="A49" s="320" t="s">
        <v>308</v>
      </c>
      <c r="B49" s="306"/>
      <c r="C49" s="306"/>
      <c r="D49" s="321">
        <v>0.5</v>
      </c>
      <c r="E49" s="292">
        <f t="shared" ref="E49:S49" si="43">$D49*E48</f>
        <v>0</v>
      </c>
      <c r="F49" s="292">
        <f t="shared" si="43"/>
        <v>0</v>
      </c>
      <c r="G49" s="292">
        <f t="shared" si="43"/>
        <v>0</v>
      </c>
      <c r="H49" s="292">
        <f t="shared" si="43"/>
        <v>0</v>
      </c>
      <c r="I49" s="292">
        <f t="shared" si="43"/>
        <v>0</v>
      </c>
      <c r="J49" s="292">
        <f t="shared" si="43"/>
        <v>10400</v>
      </c>
      <c r="K49" s="292">
        <f t="shared" si="43"/>
        <v>11200</v>
      </c>
      <c r="L49" s="292">
        <f t="shared" si="43"/>
        <v>12000</v>
      </c>
      <c r="M49" s="292">
        <f t="shared" si="43"/>
        <v>12800</v>
      </c>
      <c r="N49" s="292">
        <f t="shared" si="43"/>
        <v>13200</v>
      </c>
      <c r="O49" s="292">
        <f t="shared" si="43"/>
        <v>12000</v>
      </c>
      <c r="P49" s="292">
        <f t="shared" si="43"/>
        <v>12000</v>
      </c>
      <c r="Q49" s="292">
        <f t="shared" si="43"/>
        <v>0</v>
      </c>
      <c r="R49" s="292">
        <f t="shared" si="43"/>
        <v>0</v>
      </c>
      <c r="S49" s="292">
        <f t="shared" si="43"/>
        <v>0</v>
      </c>
      <c r="T49" s="306"/>
      <c r="U49" s="306"/>
      <c r="V49" s="306"/>
      <c r="W49" s="306"/>
      <c r="X49" s="306"/>
      <c r="Y49" s="306"/>
      <c r="Z49" s="306"/>
    </row>
    <row r="50" ht="15.75" customHeight="1">
      <c r="A50" s="320" t="s">
        <v>309</v>
      </c>
      <c r="B50" s="306"/>
      <c r="C50" s="306"/>
      <c r="D50" s="321">
        <v>0.7</v>
      </c>
      <c r="E50" s="292">
        <f t="shared" ref="E50:S50" si="44">$D50*E46</f>
        <v>0</v>
      </c>
      <c r="F50" s="292">
        <f t="shared" si="44"/>
        <v>0</v>
      </c>
      <c r="G50" s="292">
        <f t="shared" si="44"/>
        <v>0</v>
      </c>
      <c r="H50" s="292">
        <f t="shared" si="44"/>
        <v>0</v>
      </c>
      <c r="I50" s="292">
        <f t="shared" si="44"/>
        <v>0</v>
      </c>
      <c r="J50" s="292">
        <f t="shared" si="44"/>
        <v>232.96</v>
      </c>
      <c r="K50" s="292">
        <f t="shared" si="44"/>
        <v>483.84</v>
      </c>
      <c r="L50" s="292">
        <f t="shared" si="44"/>
        <v>752.64</v>
      </c>
      <c r="M50" s="292">
        <f t="shared" si="44"/>
        <v>1039.36</v>
      </c>
      <c r="N50" s="292">
        <f t="shared" si="44"/>
        <v>1335.04</v>
      </c>
      <c r="O50" s="292">
        <f t="shared" si="44"/>
        <v>1603.84</v>
      </c>
      <c r="P50" s="292">
        <f t="shared" si="44"/>
        <v>1872.64</v>
      </c>
      <c r="Q50" s="292">
        <f t="shared" si="44"/>
        <v>0</v>
      </c>
      <c r="R50" s="292">
        <f t="shared" si="44"/>
        <v>0</v>
      </c>
      <c r="S50" s="292">
        <f t="shared" si="44"/>
        <v>0</v>
      </c>
      <c r="T50" s="306"/>
      <c r="U50" s="306"/>
      <c r="V50" s="306"/>
      <c r="W50" s="306"/>
      <c r="X50" s="306"/>
      <c r="Y50" s="306"/>
      <c r="Z50" s="306"/>
    </row>
    <row r="51" ht="15.75" customHeight="1">
      <c r="A51" s="320" t="s">
        <v>310</v>
      </c>
      <c r="B51" s="306"/>
      <c r="C51" s="306"/>
      <c r="D51" s="321">
        <v>0.75</v>
      </c>
      <c r="E51" s="292">
        <f t="shared" ref="E51:S51" si="45">$D51*E38</f>
        <v>0</v>
      </c>
      <c r="F51" s="292">
        <f t="shared" si="45"/>
        <v>0</v>
      </c>
      <c r="G51" s="292">
        <f t="shared" si="45"/>
        <v>0</v>
      </c>
      <c r="H51" s="292">
        <f t="shared" si="45"/>
        <v>211.2</v>
      </c>
      <c r="I51" s="292">
        <f t="shared" si="45"/>
        <v>441.6</v>
      </c>
      <c r="J51" s="292">
        <f t="shared" si="45"/>
        <v>691.2</v>
      </c>
      <c r="K51" s="292">
        <f t="shared" si="45"/>
        <v>960</v>
      </c>
      <c r="L51" s="292">
        <f t="shared" si="45"/>
        <v>1248</v>
      </c>
      <c r="M51" s="292">
        <f t="shared" si="45"/>
        <v>1555.2</v>
      </c>
      <c r="N51" s="292">
        <f t="shared" si="45"/>
        <v>1872</v>
      </c>
      <c r="O51" s="292">
        <f t="shared" si="45"/>
        <v>2160</v>
      </c>
      <c r="P51" s="292">
        <f t="shared" si="45"/>
        <v>2448</v>
      </c>
      <c r="Q51" s="292">
        <f t="shared" si="45"/>
        <v>0</v>
      </c>
      <c r="R51" s="292">
        <f t="shared" si="45"/>
        <v>0</v>
      </c>
      <c r="S51" s="292">
        <f t="shared" si="45"/>
        <v>0</v>
      </c>
      <c r="T51" s="306"/>
      <c r="U51" s="306"/>
      <c r="V51" s="306"/>
      <c r="W51" s="306"/>
      <c r="X51" s="306"/>
      <c r="Y51" s="306"/>
      <c r="Z51" s="306"/>
    </row>
    <row r="52" ht="15.75" customHeight="1">
      <c r="A52" s="206" t="s">
        <v>311</v>
      </c>
      <c r="B52" s="299"/>
      <c r="C52" s="298">
        <f t="shared" ref="C52:C53" si="47">SUM(E52:P52)</f>
        <v>193107.2</v>
      </c>
      <c r="D52" s="322">
        <f t="shared" ref="D52:D53" si="48">AVERAGE(E52:P52)</f>
        <v>16092.26667</v>
      </c>
      <c r="E52" s="322">
        <f t="shared" ref="E52:S52" si="46">E48+E46+E38</f>
        <v>0</v>
      </c>
      <c r="F52" s="322">
        <f t="shared" si="46"/>
        <v>0</v>
      </c>
      <c r="G52" s="322">
        <f t="shared" si="46"/>
        <v>0</v>
      </c>
      <c r="H52" s="322">
        <f t="shared" si="46"/>
        <v>281.6</v>
      </c>
      <c r="I52" s="322">
        <f t="shared" si="46"/>
        <v>588.8</v>
      </c>
      <c r="J52" s="322">
        <f t="shared" si="46"/>
        <v>22054.4</v>
      </c>
      <c r="K52" s="322">
        <f t="shared" si="46"/>
        <v>24371.2</v>
      </c>
      <c r="L52" s="322">
        <f t="shared" si="46"/>
        <v>26739.2</v>
      </c>
      <c r="M52" s="322">
        <f t="shared" si="46"/>
        <v>29158.4</v>
      </c>
      <c r="N52" s="322">
        <f t="shared" si="46"/>
        <v>30803.2</v>
      </c>
      <c r="O52" s="322">
        <f t="shared" si="46"/>
        <v>29171.2</v>
      </c>
      <c r="P52" s="322">
        <f t="shared" si="46"/>
        <v>29939.2</v>
      </c>
      <c r="Q52" s="322">
        <f t="shared" si="46"/>
        <v>0</v>
      </c>
      <c r="R52" s="322">
        <f t="shared" si="46"/>
        <v>0</v>
      </c>
      <c r="S52" s="322">
        <f t="shared" si="46"/>
        <v>0</v>
      </c>
      <c r="T52" s="298"/>
      <c r="U52" s="299"/>
      <c r="V52" s="299"/>
      <c r="W52" s="299"/>
      <c r="X52" s="299"/>
      <c r="Y52" s="299"/>
      <c r="Z52" s="299"/>
    </row>
    <row r="53" ht="15.75" customHeight="1">
      <c r="A53" s="323" t="s">
        <v>312</v>
      </c>
      <c r="B53" s="311"/>
      <c r="C53" s="296">
        <f t="shared" si="47"/>
        <v>102507.52</v>
      </c>
      <c r="D53" s="158">
        <f t="shared" si="48"/>
        <v>8542.293333</v>
      </c>
      <c r="E53" s="324">
        <f t="shared" ref="E53:S53" si="49">E51+E50+E49</f>
        <v>0</v>
      </c>
      <c r="F53" s="158">
        <f t="shared" si="49"/>
        <v>0</v>
      </c>
      <c r="G53" s="158">
        <f t="shared" si="49"/>
        <v>0</v>
      </c>
      <c r="H53" s="158">
        <f t="shared" si="49"/>
        <v>211.2</v>
      </c>
      <c r="I53" s="158">
        <f t="shared" si="49"/>
        <v>441.6</v>
      </c>
      <c r="J53" s="158">
        <f t="shared" si="49"/>
        <v>11324.16</v>
      </c>
      <c r="K53" s="158">
        <f t="shared" si="49"/>
        <v>12643.84</v>
      </c>
      <c r="L53" s="158">
        <f t="shared" si="49"/>
        <v>14000.64</v>
      </c>
      <c r="M53" s="158">
        <f t="shared" si="49"/>
        <v>15394.56</v>
      </c>
      <c r="N53" s="158">
        <f t="shared" si="49"/>
        <v>16407.04</v>
      </c>
      <c r="O53" s="158">
        <f t="shared" si="49"/>
        <v>15763.84</v>
      </c>
      <c r="P53" s="158">
        <f t="shared" si="49"/>
        <v>16320.64</v>
      </c>
      <c r="Q53" s="158">
        <f t="shared" si="49"/>
        <v>0</v>
      </c>
      <c r="R53" s="158">
        <f t="shared" si="49"/>
        <v>0</v>
      </c>
      <c r="S53" s="158">
        <f t="shared" si="49"/>
        <v>0</v>
      </c>
    </row>
    <row r="54" ht="15.75" customHeight="1">
      <c r="A54" s="164"/>
      <c r="B54" s="325"/>
      <c r="C54" s="88"/>
      <c r="D54" s="80"/>
      <c r="E54" s="207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</row>
    <row r="55" ht="15.75" customHeight="1">
      <c r="E55" s="164"/>
      <c r="L55" s="88"/>
      <c r="M55" s="88"/>
      <c r="N55" s="88"/>
    </row>
    <row r="56" ht="15.75" customHeight="1">
      <c r="A56" s="326" t="s">
        <v>218</v>
      </c>
      <c r="B56" s="327"/>
      <c r="C56" s="327"/>
      <c r="D56" s="327"/>
      <c r="E56" s="328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27"/>
      <c r="X56" s="327"/>
      <c r="Y56" s="327"/>
      <c r="Z56" s="327"/>
    </row>
    <row r="57" ht="15.75" customHeight="1">
      <c r="A57" s="79" t="s">
        <v>219</v>
      </c>
      <c r="B57" s="87" t="s">
        <v>40</v>
      </c>
      <c r="C57" s="87" t="s">
        <v>217</v>
      </c>
      <c r="D57" s="330" t="s">
        <v>94</v>
      </c>
      <c r="E57" s="82"/>
    </row>
    <row r="58" ht="15.75" customHeight="1">
      <c r="A58" s="79" t="s">
        <v>313</v>
      </c>
      <c r="B58" s="154">
        <v>110000.0</v>
      </c>
      <c r="C58" s="80">
        <v>6.0</v>
      </c>
      <c r="D58" s="331">
        <v>0.13</v>
      </c>
      <c r="E58" s="82"/>
    </row>
    <row r="59" ht="15.75" customHeight="1">
      <c r="A59" s="79" t="s">
        <v>314</v>
      </c>
      <c r="D59" s="134" t="s">
        <v>167</v>
      </c>
      <c r="E59" s="332">
        <f t="shared" ref="E59:S59" si="50">$D$58*E11</f>
        <v>1.04</v>
      </c>
      <c r="F59" s="333">
        <f t="shared" si="50"/>
        <v>1.248</v>
      </c>
      <c r="G59" s="333">
        <f t="shared" si="50"/>
        <v>1.664</v>
      </c>
      <c r="H59" s="333">
        <f t="shared" si="50"/>
        <v>1.8304</v>
      </c>
      <c r="I59" s="333">
        <f t="shared" si="50"/>
        <v>1.9968</v>
      </c>
      <c r="J59" s="333">
        <f t="shared" si="50"/>
        <v>2.1632</v>
      </c>
      <c r="K59" s="333">
        <f t="shared" si="50"/>
        <v>2.3296</v>
      </c>
      <c r="L59" s="333">
        <f t="shared" si="50"/>
        <v>2.496</v>
      </c>
      <c r="M59" s="333">
        <f t="shared" si="50"/>
        <v>2.6624</v>
      </c>
      <c r="N59" s="333">
        <f t="shared" si="50"/>
        <v>2.7456</v>
      </c>
      <c r="O59" s="333">
        <f t="shared" si="50"/>
        <v>2.496</v>
      </c>
      <c r="P59" s="333">
        <f t="shared" si="50"/>
        <v>2.496</v>
      </c>
      <c r="Q59" s="333">
        <f t="shared" si="50"/>
        <v>0</v>
      </c>
      <c r="R59" s="333">
        <f t="shared" si="50"/>
        <v>0</v>
      </c>
      <c r="S59" s="333">
        <f t="shared" si="50"/>
        <v>0</v>
      </c>
    </row>
    <row r="60" ht="15.75" customHeight="1">
      <c r="A60" s="299" t="s">
        <v>315</v>
      </c>
      <c r="B60" s="334" t="s">
        <v>244</v>
      </c>
      <c r="C60" s="335">
        <f>SUM(E60:P60)</f>
        <v>461413.3333</v>
      </c>
      <c r="D60" s="298">
        <f>B58/C58</f>
        <v>18333.33333</v>
      </c>
      <c r="E60" s="336">
        <f t="shared" ref="E60:S60" si="51">E59*$D$60</f>
        <v>19066.66667</v>
      </c>
      <c r="F60" s="336">
        <f t="shared" si="51"/>
        <v>22880</v>
      </c>
      <c r="G60" s="336">
        <f t="shared" si="51"/>
        <v>30506.66667</v>
      </c>
      <c r="H60" s="336">
        <f t="shared" si="51"/>
        <v>33557.33333</v>
      </c>
      <c r="I60" s="336">
        <f t="shared" si="51"/>
        <v>36608</v>
      </c>
      <c r="J60" s="336">
        <f t="shared" si="51"/>
        <v>39658.66667</v>
      </c>
      <c r="K60" s="336">
        <f t="shared" si="51"/>
        <v>42709.33333</v>
      </c>
      <c r="L60" s="336">
        <f t="shared" si="51"/>
        <v>45760</v>
      </c>
      <c r="M60" s="336">
        <f t="shared" si="51"/>
        <v>48810.66667</v>
      </c>
      <c r="N60" s="336">
        <f t="shared" si="51"/>
        <v>50336</v>
      </c>
      <c r="O60" s="336">
        <f t="shared" si="51"/>
        <v>45760</v>
      </c>
      <c r="P60" s="336">
        <f t="shared" si="51"/>
        <v>45760</v>
      </c>
      <c r="Q60" s="336">
        <f t="shared" si="51"/>
        <v>0</v>
      </c>
      <c r="R60" s="336">
        <f t="shared" si="51"/>
        <v>0</v>
      </c>
      <c r="S60" s="336">
        <f t="shared" si="51"/>
        <v>0</v>
      </c>
      <c r="T60" s="299"/>
      <c r="U60" s="299"/>
      <c r="V60" s="299"/>
      <c r="W60" s="299"/>
      <c r="X60" s="299"/>
      <c r="Y60" s="299"/>
      <c r="Z60" s="299"/>
    </row>
    <row r="61" ht="15.75" customHeight="1">
      <c r="A61" s="79" t="s">
        <v>254</v>
      </c>
      <c r="D61" s="104"/>
      <c r="E61" s="337">
        <f t="shared" ref="E61:S61" si="52">E60/4</f>
        <v>4766.666667</v>
      </c>
      <c r="F61" s="337">
        <f t="shared" si="52"/>
        <v>5720</v>
      </c>
      <c r="G61" s="337">
        <f t="shared" si="52"/>
        <v>7626.666667</v>
      </c>
      <c r="H61" s="337">
        <f t="shared" si="52"/>
        <v>8389.333333</v>
      </c>
      <c r="I61" s="337">
        <f t="shared" si="52"/>
        <v>9152</v>
      </c>
      <c r="J61" s="337">
        <f t="shared" si="52"/>
        <v>9914.666667</v>
      </c>
      <c r="K61" s="337">
        <f t="shared" si="52"/>
        <v>10677.33333</v>
      </c>
      <c r="L61" s="337">
        <f t="shared" si="52"/>
        <v>11440</v>
      </c>
      <c r="M61" s="337">
        <f t="shared" si="52"/>
        <v>12202.66667</v>
      </c>
      <c r="N61" s="337">
        <f t="shared" si="52"/>
        <v>12584</v>
      </c>
      <c r="O61" s="337">
        <f t="shared" si="52"/>
        <v>11440</v>
      </c>
      <c r="P61" s="337">
        <f t="shared" si="52"/>
        <v>11440</v>
      </c>
      <c r="Q61" s="337">
        <f t="shared" si="52"/>
        <v>0</v>
      </c>
      <c r="R61" s="337">
        <f t="shared" si="52"/>
        <v>0</v>
      </c>
      <c r="S61" s="337">
        <f t="shared" si="52"/>
        <v>0</v>
      </c>
    </row>
    <row r="62" ht="15.75" customHeight="1">
      <c r="A62" s="79" t="s">
        <v>256</v>
      </c>
      <c r="D62" s="104"/>
      <c r="E62" s="337"/>
      <c r="F62" s="337">
        <f t="shared" ref="F62:S62" si="53">E61</f>
        <v>4766.666667</v>
      </c>
      <c r="G62" s="337">
        <f t="shared" si="53"/>
        <v>5720</v>
      </c>
      <c r="H62" s="337">
        <f t="shared" si="53"/>
        <v>7626.666667</v>
      </c>
      <c r="I62" s="337">
        <f t="shared" si="53"/>
        <v>8389.333333</v>
      </c>
      <c r="J62" s="337">
        <f t="shared" si="53"/>
        <v>9152</v>
      </c>
      <c r="K62" s="337">
        <f t="shared" si="53"/>
        <v>9914.666667</v>
      </c>
      <c r="L62" s="337">
        <f t="shared" si="53"/>
        <v>10677.33333</v>
      </c>
      <c r="M62" s="337">
        <f t="shared" si="53"/>
        <v>11440</v>
      </c>
      <c r="N62" s="337">
        <f t="shared" si="53"/>
        <v>12202.66667</v>
      </c>
      <c r="O62" s="337">
        <f t="shared" si="53"/>
        <v>12584</v>
      </c>
      <c r="P62" s="337">
        <f t="shared" si="53"/>
        <v>11440</v>
      </c>
      <c r="Q62" s="337">
        <f t="shared" si="53"/>
        <v>11440</v>
      </c>
      <c r="R62" s="337">
        <f t="shared" si="53"/>
        <v>0</v>
      </c>
      <c r="S62" s="337">
        <f t="shared" si="53"/>
        <v>0</v>
      </c>
    </row>
    <row r="63" ht="15.75" customHeight="1">
      <c r="A63" s="79" t="s">
        <v>258</v>
      </c>
      <c r="D63" s="104"/>
      <c r="E63" s="337"/>
      <c r="F63" s="337"/>
      <c r="G63" s="337">
        <f t="shared" ref="G63:S63" si="54">F62</f>
        <v>4766.666667</v>
      </c>
      <c r="H63" s="337">
        <f t="shared" si="54"/>
        <v>5720</v>
      </c>
      <c r="I63" s="337">
        <f t="shared" si="54"/>
        <v>7626.666667</v>
      </c>
      <c r="J63" s="337">
        <f t="shared" si="54"/>
        <v>8389.333333</v>
      </c>
      <c r="K63" s="337">
        <f t="shared" si="54"/>
        <v>9152</v>
      </c>
      <c r="L63" s="337">
        <f t="shared" si="54"/>
        <v>9914.666667</v>
      </c>
      <c r="M63" s="337">
        <f t="shared" si="54"/>
        <v>10677.33333</v>
      </c>
      <c r="N63" s="337">
        <f t="shared" si="54"/>
        <v>11440</v>
      </c>
      <c r="O63" s="337">
        <f t="shared" si="54"/>
        <v>12202.66667</v>
      </c>
      <c r="P63" s="337">
        <f t="shared" si="54"/>
        <v>12584</v>
      </c>
      <c r="Q63" s="337">
        <f t="shared" si="54"/>
        <v>11440</v>
      </c>
      <c r="R63" s="337">
        <f t="shared" si="54"/>
        <v>11440</v>
      </c>
      <c r="S63" s="337">
        <f t="shared" si="54"/>
        <v>0</v>
      </c>
    </row>
    <row r="64" ht="15.75" customHeight="1">
      <c r="A64" s="79" t="s">
        <v>259</v>
      </c>
      <c r="D64" s="104"/>
      <c r="E64" s="337"/>
      <c r="F64" s="337"/>
      <c r="G64" s="337"/>
      <c r="H64" s="337">
        <f t="shared" ref="H64:S64" si="55">G63</f>
        <v>4766.666667</v>
      </c>
      <c r="I64" s="337">
        <f t="shared" si="55"/>
        <v>5720</v>
      </c>
      <c r="J64" s="337">
        <f t="shared" si="55"/>
        <v>7626.666667</v>
      </c>
      <c r="K64" s="337">
        <f t="shared" si="55"/>
        <v>8389.333333</v>
      </c>
      <c r="L64" s="337">
        <f t="shared" si="55"/>
        <v>9152</v>
      </c>
      <c r="M64" s="337">
        <f t="shared" si="55"/>
        <v>9914.666667</v>
      </c>
      <c r="N64" s="337">
        <f t="shared" si="55"/>
        <v>10677.33333</v>
      </c>
      <c r="O64" s="337">
        <f t="shared" si="55"/>
        <v>11440</v>
      </c>
      <c r="P64" s="337">
        <f t="shared" si="55"/>
        <v>12202.66667</v>
      </c>
      <c r="Q64" s="337">
        <f t="shared" si="55"/>
        <v>12584</v>
      </c>
      <c r="R64" s="337">
        <f t="shared" si="55"/>
        <v>11440</v>
      </c>
      <c r="S64" s="337">
        <f t="shared" si="55"/>
        <v>11440</v>
      </c>
    </row>
    <row r="65" ht="15.75" customHeight="1">
      <c r="A65" s="79" t="s">
        <v>316</v>
      </c>
      <c r="C65" s="135"/>
      <c r="D65" s="104"/>
      <c r="E65" s="337">
        <f t="shared" ref="E65:S65" si="56">SUM(E61:E64)</f>
        <v>4766.666667</v>
      </c>
      <c r="F65" s="337">
        <f t="shared" si="56"/>
        <v>10486.66667</v>
      </c>
      <c r="G65" s="337">
        <f t="shared" si="56"/>
        <v>18113.33333</v>
      </c>
      <c r="H65" s="337">
        <f t="shared" si="56"/>
        <v>26502.66667</v>
      </c>
      <c r="I65" s="337">
        <f t="shared" si="56"/>
        <v>30888</v>
      </c>
      <c r="J65" s="337">
        <f t="shared" si="56"/>
        <v>35082.66667</v>
      </c>
      <c r="K65" s="337">
        <f t="shared" si="56"/>
        <v>38133.33333</v>
      </c>
      <c r="L65" s="337">
        <f t="shared" si="56"/>
        <v>41184</v>
      </c>
      <c r="M65" s="337">
        <f t="shared" si="56"/>
        <v>44234.66667</v>
      </c>
      <c r="N65" s="337">
        <f t="shared" si="56"/>
        <v>46904</v>
      </c>
      <c r="O65" s="337">
        <f t="shared" si="56"/>
        <v>47666.66667</v>
      </c>
      <c r="P65" s="337">
        <f t="shared" si="56"/>
        <v>47666.66667</v>
      </c>
      <c r="Q65" s="337">
        <f t="shared" si="56"/>
        <v>35464</v>
      </c>
      <c r="R65" s="337">
        <f t="shared" si="56"/>
        <v>22880</v>
      </c>
      <c r="S65" s="337">
        <f t="shared" si="56"/>
        <v>11440</v>
      </c>
    </row>
    <row r="66" ht="15.75" customHeight="1">
      <c r="A66" s="79" t="s">
        <v>317</v>
      </c>
      <c r="D66" s="155">
        <v>0.45</v>
      </c>
      <c r="E66" s="337">
        <f t="shared" ref="E66:S66" si="57">E60*$D$66</f>
        <v>8580</v>
      </c>
      <c r="F66" s="337">
        <f t="shared" si="57"/>
        <v>10296</v>
      </c>
      <c r="G66" s="337">
        <f t="shared" si="57"/>
        <v>13728</v>
      </c>
      <c r="H66" s="337">
        <f t="shared" si="57"/>
        <v>15100.8</v>
      </c>
      <c r="I66" s="337">
        <f t="shared" si="57"/>
        <v>16473.6</v>
      </c>
      <c r="J66" s="337">
        <f t="shared" si="57"/>
        <v>17846.4</v>
      </c>
      <c r="K66" s="337">
        <f t="shared" si="57"/>
        <v>19219.2</v>
      </c>
      <c r="L66" s="337">
        <f t="shared" si="57"/>
        <v>20592</v>
      </c>
      <c r="M66" s="337">
        <f t="shared" si="57"/>
        <v>21964.8</v>
      </c>
      <c r="N66" s="337">
        <f t="shared" si="57"/>
        <v>22651.2</v>
      </c>
      <c r="O66" s="337">
        <f t="shared" si="57"/>
        <v>20592</v>
      </c>
      <c r="P66" s="337">
        <f t="shared" si="57"/>
        <v>20592</v>
      </c>
      <c r="Q66" s="337">
        <f t="shared" si="57"/>
        <v>0</v>
      </c>
      <c r="R66" s="337">
        <f t="shared" si="57"/>
        <v>0</v>
      </c>
      <c r="S66" s="337">
        <f t="shared" si="57"/>
        <v>0</v>
      </c>
    </row>
    <row r="67" ht="15.75" customHeight="1">
      <c r="A67" s="79" t="s">
        <v>318</v>
      </c>
      <c r="D67" s="104"/>
      <c r="E67" s="337">
        <f t="shared" ref="E67:S67" si="58">E65-E66</f>
        <v>-3813.333333</v>
      </c>
      <c r="F67" s="337">
        <f t="shared" si="58"/>
        <v>190.6666667</v>
      </c>
      <c r="G67" s="337">
        <f t="shared" si="58"/>
        <v>4385.333333</v>
      </c>
      <c r="H67" s="337">
        <f t="shared" si="58"/>
        <v>11401.86667</v>
      </c>
      <c r="I67" s="337">
        <f t="shared" si="58"/>
        <v>14414.4</v>
      </c>
      <c r="J67" s="337">
        <f t="shared" si="58"/>
        <v>17236.26667</v>
      </c>
      <c r="K67" s="337">
        <f t="shared" si="58"/>
        <v>18914.13333</v>
      </c>
      <c r="L67" s="337">
        <f t="shared" si="58"/>
        <v>20592</v>
      </c>
      <c r="M67" s="337">
        <f t="shared" si="58"/>
        <v>22269.86667</v>
      </c>
      <c r="N67" s="337">
        <f t="shared" si="58"/>
        <v>24252.8</v>
      </c>
      <c r="O67" s="337">
        <f t="shared" si="58"/>
        <v>27074.66667</v>
      </c>
      <c r="P67" s="337">
        <f t="shared" si="58"/>
        <v>27074.66667</v>
      </c>
      <c r="Q67" s="337">
        <f t="shared" si="58"/>
        <v>35464</v>
      </c>
      <c r="R67" s="337">
        <f t="shared" si="58"/>
        <v>22880</v>
      </c>
      <c r="S67" s="337">
        <f t="shared" si="58"/>
        <v>11440</v>
      </c>
    </row>
    <row r="68" ht="15.75" customHeight="1">
      <c r="A68" s="79" t="s">
        <v>319</v>
      </c>
      <c r="B68" s="79" t="s">
        <v>320</v>
      </c>
      <c r="C68" s="88">
        <f>P68</f>
        <v>183993.3333</v>
      </c>
      <c r="D68" s="104"/>
      <c r="E68" s="337">
        <f>E67</f>
        <v>-3813.333333</v>
      </c>
      <c r="F68" s="88">
        <f t="shared" ref="F68:S68" si="59">F67+E68</f>
        <v>-3622.666667</v>
      </c>
      <c r="G68" s="88">
        <f t="shared" si="59"/>
        <v>762.6666667</v>
      </c>
      <c r="H68" s="88">
        <f t="shared" si="59"/>
        <v>12164.53333</v>
      </c>
      <c r="I68" s="88">
        <f t="shared" si="59"/>
        <v>26578.93333</v>
      </c>
      <c r="J68" s="88">
        <f t="shared" si="59"/>
        <v>43815.2</v>
      </c>
      <c r="K68" s="88">
        <f t="shared" si="59"/>
        <v>62729.33333</v>
      </c>
      <c r="L68" s="88">
        <f t="shared" si="59"/>
        <v>83321.33333</v>
      </c>
      <c r="M68" s="88">
        <f t="shared" si="59"/>
        <v>105591.2</v>
      </c>
      <c r="N68" s="88">
        <f t="shared" si="59"/>
        <v>129844</v>
      </c>
      <c r="O68" s="88">
        <f t="shared" si="59"/>
        <v>156918.6667</v>
      </c>
      <c r="P68" s="88">
        <f t="shared" si="59"/>
        <v>183993.3333</v>
      </c>
      <c r="Q68" s="88">
        <f t="shared" si="59"/>
        <v>219457.3333</v>
      </c>
      <c r="R68" s="88">
        <f t="shared" si="59"/>
        <v>242337.3333</v>
      </c>
      <c r="S68" s="88">
        <f t="shared" si="59"/>
        <v>253777.3333</v>
      </c>
    </row>
    <row r="69" ht="15.75" customHeight="1">
      <c r="A69" s="79" t="s">
        <v>321</v>
      </c>
      <c r="D69" s="341">
        <v>0.35</v>
      </c>
      <c r="H69" s="337">
        <f t="shared" ref="H69:S69" si="60">$D$69*E60</f>
        <v>6673.333333</v>
      </c>
      <c r="I69" s="337">
        <f t="shared" si="60"/>
        <v>8008</v>
      </c>
      <c r="J69" s="337">
        <f t="shared" si="60"/>
        <v>10677.33333</v>
      </c>
      <c r="K69" s="337">
        <f t="shared" si="60"/>
        <v>11745.06667</v>
      </c>
      <c r="L69" s="337">
        <f t="shared" si="60"/>
        <v>12812.8</v>
      </c>
      <c r="M69" s="337">
        <f t="shared" si="60"/>
        <v>13880.53333</v>
      </c>
      <c r="N69" s="337">
        <f t="shared" si="60"/>
        <v>14948.26667</v>
      </c>
      <c r="O69" s="337">
        <f t="shared" si="60"/>
        <v>16016</v>
      </c>
      <c r="P69" s="337">
        <f t="shared" si="60"/>
        <v>17083.73333</v>
      </c>
      <c r="Q69" s="337">
        <f t="shared" si="60"/>
        <v>17617.6</v>
      </c>
      <c r="R69" s="337">
        <f t="shared" si="60"/>
        <v>16016</v>
      </c>
      <c r="S69" s="337">
        <f t="shared" si="60"/>
        <v>16016</v>
      </c>
    </row>
    <row r="70" ht="15.75" customHeight="1">
      <c r="A70" s="311" t="s">
        <v>322</v>
      </c>
      <c r="B70" s="311"/>
      <c r="C70" s="311"/>
      <c r="D70" s="406">
        <v>0.35</v>
      </c>
      <c r="E70" s="343">
        <f t="shared" ref="E70:S70" si="61">E60*$D$70</f>
        <v>6673.333333</v>
      </c>
      <c r="F70" s="343">
        <f t="shared" si="61"/>
        <v>8008</v>
      </c>
      <c r="G70" s="343">
        <f t="shared" si="61"/>
        <v>10677.33333</v>
      </c>
      <c r="H70" s="343">
        <f t="shared" si="61"/>
        <v>11745.06667</v>
      </c>
      <c r="I70" s="343">
        <f t="shared" si="61"/>
        <v>12812.8</v>
      </c>
      <c r="J70" s="343">
        <f t="shared" si="61"/>
        <v>13880.53333</v>
      </c>
      <c r="K70" s="343">
        <f t="shared" si="61"/>
        <v>14948.26667</v>
      </c>
      <c r="L70" s="343">
        <f t="shared" si="61"/>
        <v>16016</v>
      </c>
      <c r="M70" s="343">
        <f t="shared" si="61"/>
        <v>17083.73333</v>
      </c>
      <c r="N70" s="343">
        <f t="shared" si="61"/>
        <v>17617.6</v>
      </c>
      <c r="O70" s="343">
        <f t="shared" si="61"/>
        <v>16016</v>
      </c>
      <c r="P70" s="343">
        <f t="shared" si="61"/>
        <v>16016</v>
      </c>
      <c r="Q70" s="343">
        <f t="shared" si="61"/>
        <v>0</v>
      </c>
      <c r="R70" s="343">
        <f t="shared" si="61"/>
        <v>0</v>
      </c>
      <c r="S70" s="343">
        <f t="shared" si="61"/>
        <v>0</v>
      </c>
      <c r="T70" s="311"/>
      <c r="U70" s="311"/>
      <c r="V70" s="311"/>
      <c r="W70" s="311"/>
      <c r="X70" s="311"/>
      <c r="Y70" s="311"/>
      <c r="Z70" s="311"/>
    </row>
    <row r="71" ht="15.75" customHeight="1">
      <c r="B71" s="82"/>
      <c r="C71" s="164"/>
      <c r="D71" s="104"/>
    </row>
    <row r="72" ht="15.75" hidden="1" customHeight="1">
      <c r="A72" s="334" t="s">
        <v>324</v>
      </c>
      <c r="B72" s="345">
        <f>SUM(E72:P72)</f>
        <v>3436152.628</v>
      </c>
      <c r="C72" s="334" t="s">
        <v>325</v>
      </c>
      <c r="D72" s="346">
        <f>AVERAGE(E72:P72)</f>
        <v>286346.0523</v>
      </c>
      <c r="E72" s="335">
        <f t="shared" ref="E72:P72" si="62">E60+E78</f>
        <v>175525.1204</v>
      </c>
      <c r="F72" s="335">
        <f t="shared" si="62"/>
        <v>174106.6258</v>
      </c>
      <c r="G72" s="335">
        <f t="shared" si="62"/>
        <v>195579.314</v>
      </c>
      <c r="H72" s="335">
        <f t="shared" si="62"/>
        <v>205710.6344</v>
      </c>
      <c r="I72" s="335">
        <f t="shared" si="62"/>
        <v>225804.8</v>
      </c>
      <c r="J72" s="335">
        <f t="shared" si="62"/>
        <v>277531.7333</v>
      </c>
      <c r="K72" s="335">
        <f t="shared" si="62"/>
        <v>306429.8667</v>
      </c>
      <c r="L72" s="335">
        <f t="shared" si="62"/>
        <v>337299.2</v>
      </c>
      <c r="M72" s="335">
        <f t="shared" si="62"/>
        <v>368859.7333</v>
      </c>
      <c r="N72" s="335">
        <f t="shared" si="62"/>
        <v>391155.2</v>
      </c>
      <c r="O72" s="335">
        <f t="shared" si="62"/>
        <v>388691.2</v>
      </c>
      <c r="P72" s="335">
        <f t="shared" si="62"/>
        <v>389459.2</v>
      </c>
      <c r="Q72" s="334"/>
      <c r="R72" s="334"/>
      <c r="S72" s="334"/>
      <c r="T72" s="334"/>
      <c r="U72" s="334"/>
      <c r="V72" s="334"/>
      <c r="W72" s="334"/>
      <c r="X72" s="334"/>
      <c r="Y72" s="334"/>
      <c r="Z72" s="334"/>
    </row>
    <row r="73" ht="15.75" customHeight="1">
      <c r="B73" s="82"/>
      <c r="C73" s="164"/>
      <c r="D73" s="104"/>
    </row>
    <row r="74" ht="15.75" customHeight="1">
      <c r="B74" s="82"/>
      <c r="C74" s="164"/>
      <c r="D74" s="104"/>
    </row>
    <row r="75" ht="15.75" customHeight="1">
      <c r="B75" s="88"/>
    </row>
    <row r="76" ht="15.75" customHeight="1">
      <c r="B76" s="88"/>
    </row>
    <row r="77" ht="15.75" customHeight="1">
      <c r="C77" s="87" t="s">
        <v>40</v>
      </c>
      <c r="D77" s="87" t="s">
        <v>229</v>
      </c>
      <c r="E77" s="82"/>
    </row>
    <row r="78" ht="27.0" customHeight="1">
      <c r="A78" s="355" t="s">
        <v>328</v>
      </c>
      <c r="B78" s="355"/>
      <c r="C78" s="356">
        <f t="shared" ref="C78:C80" si="64">SUM(E78:P78)</f>
        <v>2974739.295</v>
      </c>
      <c r="D78" s="357">
        <f t="shared" ref="D78:D80" si="65">AVERAGE(E78:P78)</f>
        <v>247894.9412</v>
      </c>
      <c r="E78" s="356">
        <f t="shared" ref="E78:P78" si="63">E52+E60+E25</f>
        <v>156458.4538</v>
      </c>
      <c r="F78" s="356">
        <f t="shared" si="63"/>
        <v>151226.6258</v>
      </c>
      <c r="G78" s="356">
        <f t="shared" si="63"/>
        <v>165072.6473</v>
      </c>
      <c r="H78" s="356">
        <f t="shared" si="63"/>
        <v>172153.3011</v>
      </c>
      <c r="I78" s="356">
        <f t="shared" si="63"/>
        <v>189196.8</v>
      </c>
      <c r="J78" s="356">
        <f t="shared" si="63"/>
        <v>237873.0667</v>
      </c>
      <c r="K78" s="356">
        <f t="shared" si="63"/>
        <v>263720.5333</v>
      </c>
      <c r="L78" s="356">
        <f t="shared" si="63"/>
        <v>291539.2</v>
      </c>
      <c r="M78" s="356">
        <f t="shared" si="63"/>
        <v>320049.0667</v>
      </c>
      <c r="N78" s="356">
        <f t="shared" si="63"/>
        <v>340819.2</v>
      </c>
      <c r="O78" s="356">
        <f t="shared" si="63"/>
        <v>342931.2</v>
      </c>
      <c r="P78" s="356">
        <f t="shared" si="63"/>
        <v>343699.2</v>
      </c>
      <c r="Q78" s="358"/>
      <c r="R78" s="358"/>
      <c r="S78" s="358"/>
      <c r="T78" s="358"/>
      <c r="U78" s="358"/>
      <c r="V78" s="358"/>
      <c r="W78" s="358"/>
      <c r="X78" s="358"/>
      <c r="Y78" s="358"/>
      <c r="Z78" s="358"/>
    </row>
    <row r="79" ht="27.0" customHeight="1">
      <c r="A79" s="360" t="s">
        <v>329</v>
      </c>
      <c r="B79" s="361">
        <f>C79/C78</f>
        <v>0.2338881326</v>
      </c>
      <c r="C79" s="362">
        <f t="shared" si="64"/>
        <v>695756.2187</v>
      </c>
      <c r="D79" s="363">
        <f t="shared" si="65"/>
        <v>57979.68489</v>
      </c>
      <c r="E79" s="362">
        <f t="shared" ref="E79:P79" si="66">E69+E53+E26-E27</f>
        <v>5421.908</v>
      </c>
      <c r="F79" s="362">
        <f t="shared" si="66"/>
        <v>-186.092</v>
      </c>
      <c r="G79" s="362">
        <f t="shared" si="66"/>
        <v>3669.908</v>
      </c>
      <c r="H79" s="362">
        <f t="shared" si="66"/>
        <v>12878.44133</v>
      </c>
      <c r="I79" s="362">
        <f t="shared" si="66"/>
        <v>22928.6</v>
      </c>
      <c r="J79" s="362">
        <f t="shared" si="66"/>
        <v>51459.69333</v>
      </c>
      <c r="K79" s="362">
        <f t="shared" si="66"/>
        <v>66544.70667</v>
      </c>
      <c r="L79" s="362">
        <f t="shared" si="66"/>
        <v>82857.24</v>
      </c>
      <c r="M79" s="362">
        <f t="shared" si="66"/>
        <v>99603.69333</v>
      </c>
      <c r="N79" s="362">
        <f t="shared" si="66"/>
        <v>112595.9067</v>
      </c>
      <c r="O79" s="362">
        <f t="shared" si="66"/>
        <v>118178.84</v>
      </c>
      <c r="P79" s="362">
        <f t="shared" si="66"/>
        <v>119803.3733</v>
      </c>
      <c r="Q79" s="364"/>
      <c r="R79" s="364"/>
      <c r="S79" s="364"/>
      <c r="T79" s="364"/>
      <c r="U79" s="364"/>
      <c r="V79" s="364"/>
      <c r="W79" s="364"/>
      <c r="X79" s="364"/>
      <c r="Y79" s="364"/>
      <c r="Z79" s="364"/>
    </row>
    <row r="80" ht="15.75" customHeight="1">
      <c r="A80" s="366" t="s">
        <v>330</v>
      </c>
      <c r="B80" s="367"/>
      <c r="C80" s="368">
        <f t="shared" si="64"/>
        <v>2591346.933</v>
      </c>
      <c r="D80" s="369">
        <f t="shared" si="65"/>
        <v>215945.5778</v>
      </c>
      <c r="E80" s="370">
        <f t="shared" ref="E80:P80" si="67">E13+E60</f>
        <v>82440.26667</v>
      </c>
      <c r="F80" s="370">
        <f t="shared" si="67"/>
        <v>109280</v>
      </c>
      <c r="G80" s="370">
        <f t="shared" si="67"/>
        <v>145706.6667</v>
      </c>
      <c r="H80" s="370">
        <f t="shared" si="67"/>
        <v>174357.3333</v>
      </c>
      <c r="I80" s="370">
        <f t="shared" si="67"/>
        <v>190208</v>
      </c>
      <c r="J80" s="370">
        <f t="shared" si="67"/>
        <v>222698.6667</v>
      </c>
      <c r="K80" s="370">
        <f t="shared" si="67"/>
        <v>239829.3333</v>
      </c>
      <c r="L80" s="370">
        <f t="shared" si="67"/>
        <v>276160</v>
      </c>
      <c r="M80" s="370">
        <f t="shared" si="67"/>
        <v>294570.6667</v>
      </c>
      <c r="N80" s="370">
        <f t="shared" si="67"/>
        <v>303776</v>
      </c>
      <c r="O80" s="370">
        <f t="shared" si="67"/>
        <v>276160</v>
      </c>
      <c r="P80" s="370">
        <f t="shared" si="67"/>
        <v>276160</v>
      </c>
    </row>
    <row r="81" ht="15.75" customHeight="1">
      <c r="A81" s="371"/>
      <c r="C81" s="371"/>
      <c r="D81" s="372"/>
      <c r="E81" s="373">
        <f>SUM(E80:G80)</f>
        <v>337426.9333</v>
      </c>
      <c r="H81" s="374">
        <f>SUM(H80:J80)</f>
        <v>587264</v>
      </c>
      <c r="K81" s="373">
        <f>SUM(K80:M80)</f>
        <v>810560</v>
      </c>
      <c r="N81" s="374">
        <f>SUM(N80:P80)</f>
        <v>856096</v>
      </c>
    </row>
    <row r="82" ht="15.75" customHeight="1"/>
    <row r="83" ht="15.75" customHeight="1"/>
    <row r="84" ht="15.75" customHeight="1"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</row>
    <row r="85" ht="15.75" customHeight="1">
      <c r="A85" s="164"/>
      <c r="D85" s="135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</row>
    <row r="86" ht="15.75" customHeight="1">
      <c r="A86" s="164"/>
      <c r="D86" s="135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</row>
    <row r="87" ht="15.75" customHeight="1">
      <c r="A87" s="164"/>
      <c r="D87" s="135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</row>
    <row r="88" ht="15.75" customHeight="1"/>
    <row r="89" ht="15.75" customHeight="1"/>
    <row r="90" ht="15.75" customHeight="1"/>
    <row r="91" ht="15.75" customHeight="1"/>
    <row r="92" ht="15.75" customHeight="1"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</row>
    <row r="93" ht="15.75" customHeight="1"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</row>
    <row r="94" ht="15.75" customHeight="1"/>
    <row r="95" ht="15.75" customHeight="1"/>
    <row r="96" ht="15.75" customHeight="1"/>
    <row r="97" ht="15.75" customHeight="1"/>
    <row r="98" ht="15.75" customHeight="1">
      <c r="B98" s="88"/>
    </row>
    <row r="99" ht="15.75" customHeight="1">
      <c r="B99" s="88"/>
    </row>
    <row r="100" ht="15.75" customHeight="1">
      <c r="B100" s="88"/>
    </row>
    <row r="101" ht="15.75" customHeight="1">
      <c r="B101" s="90"/>
    </row>
    <row r="102" ht="15.75" customHeight="1"/>
    <row r="103" ht="15.75" customHeight="1">
      <c r="A103" s="81"/>
      <c r="C103" s="81"/>
    </row>
    <row r="104" ht="15.75" customHeight="1">
      <c r="A104" s="164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>
      <c r="B111" s="172"/>
      <c r="C111" s="172"/>
      <c r="D111" s="172"/>
      <c r="E111" s="88"/>
    </row>
    <row r="112" ht="15.75" customHeight="1"/>
    <row r="113" ht="15.75" customHeight="1"/>
    <row r="114" ht="15.75" customHeight="1"/>
    <row r="115" ht="15.75" customHeight="1">
      <c r="C115" s="80"/>
    </row>
    <row r="116" ht="15.75" customHeight="1">
      <c r="C116" s="90"/>
    </row>
    <row r="117" ht="15.75" customHeight="1">
      <c r="C117" s="80"/>
    </row>
    <row r="118" ht="15.75" customHeight="1">
      <c r="C118" s="90"/>
    </row>
    <row r="119" ht="15.75" customHeight="1">
      <c r="C119" s="90"/>
    </row>
    <row r="120" ht="15.75" customHeight="1">
      <c r="C120" s="90"/>
    </row>
    <row r="121" ht="15.75" customHeight="1"/>
    <row r="122" ht="15.75" customHeight="1">
      <c r="C122" s="88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">
    <mergeCell ref="A80:A81"/>
    <mergeCell ref="C80:C81"/>
    <mergeCell ref="D80:D81"/>
    <mergeCell ref="E81:G81"/>
    <mergeCell ref="H81:J81"/>
    <mergeCell ref="K81:M81"/>
    <mergeCell ref="N81:P81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6.11"/>
    <col customWidth="1" min="2" max="2" width="17.44"/>
    <col customWidth="1" min="3" max="3" width="14.56"/>
    <col customWidth="1" min="4" max="4" width="27.89"/>
    <col customWidth="1" min="12" max="12" width="14.67"/>
    <col customWidth="1" min="13" max="13" width="12.56"/>
    <col customWidth="1" min="14" max="14" width="12.0"/>
  </cols>
  <sheetData>
    <row r="1">
      <c r="A1" s="196" t="s">
        <v>484</v>
      </c>
      <c r="B1" s="196" t="s">
        <v>485</v>
      </c>
      <c r="G1" s="196" t="s">
        <v>486</v>
      </c>
      <c r="L1" s="196" t="s">
        <v>487</v>
      </c>
    </row>
    <row r="2">
      <c r="G2" s="196" t="s">
        <v>488</v>
      </c>
      <c r="L2" s="196" t="s">
        <v>489</v>
      </c>
    </row>
    <row r="3">
      <c r="A3" s="196" t="s">
        <v>490</v>
      </c>
      <c r="B3" s="196" t="s">
        <v>491</v>
      </c>
      <c r="C3" s="196" t="s">
        <v>492</v>
      </c>
      <c r="D3" s="196" t="s">
        <v>493</v>
      </c>
      <c r="G3" s="196" t="s">
        <v>494</v>
      </c>
      <c r="L3" s="196" t="s">
        <v>495</v>
      </c>
    </row>
    <row r="4">
      <c r="B4" s="196" t="s">
        <v>496</v>
      </c>
      <c r="G4" s="196" t="s">
        <v>497</v>
      </c>
    </row>
    <row r="5">
      <c r="B5" s="196" t="s">
        <v>498</v>
      </c>
      <c r="C5" s="196" t="s">
        <v>499</v>
      </c>
      <c r="D5" s="196" t="s">
        <v>500</v>
      </c>
      <c r="G5" s="196" t="s">
        <v>501</v>
      </c>
    </row>
    <row r="6">
      <c r="C6" s="196" t="s">
        <v>502</v>
      </c>
    </row>
    <row r="7">
      <c r="B7" s="196" t="s">
        <v>503</v>
      </c>
    </row>
    <row r="9">
      <c r="A9" s="196" t="s">
        <v>504</v>
      </c>
      <c r="B9" s="196" t="s">
        <v>505</v>
      </c>
    </row>
    <row r="10">
      <c r="A10" s="196" t="s">
        <v>506</v>
      </c>
    </row>
    <row r="12">
      <c r="H12" s="79">
        <f>3000*24</f>
        <v>72000</v>
      </c>
    </row>
    <row r="13">
      <c r="A13" s="196" t="s">
        <v>507</v>
      </c>
    </row>
    <row r="14">
      <c r="A14" s="196" t="s">
        <v>508</v>
      </c>
    </row>
    <row r="15">
      <c r="A15" s="196" t="s">
        <v>509</v>
      </c>
    </row>
    <row r="16">
      <c r="A16" s="196" t="s">
        <v>510</v>
      </c>
    </row>
    <row r="20">
      <c r="A20" s="423" t="s">
        <v>511</v>
      </c>
      <c r="B20" s="196" t="s">
        <v>398</v>
      </c>
    </row>
    <row r="21">
      <c r="A21" s="424" t="s">
        <v>512</v>
      </c>
      <c r="B21" s="196" t="s">
        <v>513</v>
      </c>
    </row>
    <row r="22">
      <c r="A22" s="424" t="s">
        <v>514</v>
      </c>
      <c r="B22" s="196" t="s">
        <v>515</v>
      </c>
    </row>
    <row r="23">
      <c r="A23" s="424" t="s">
        <v>516</v>
      </c>
      <c r="B23" s="196" t="s">
        <v>517</v>
      </c>
    </row>
    <row r="24">
      <c r="A24" s="424" t="s">
        <v>518</v>
      </c>
      <c r="B24" s="196" t="s">
        <v>519</v>
      </c>
    </row>
    <row r="27">
      <c r="A27" s="196" t="s">
        <v>520</v>
      </c>
    </row>
    <row r="28">
      <c r="A28" s="196" t="s">
        <v>521</v>
      </c>
    </row>
    <row r="30">
      <c r="A30" s="196" t="s">
        <v>522</v>
      </c>
    </row>
    <row r="31">
      <c r="A31" s="196" t="s">
        <v>523</v>
      </c>
    </row>
    <row r="33">
      <c r="A33" s="196" t="s">
        <v>524</v>
      </c>
    </row>
    <row r="34">
      <c r="A34" s="196" t="s">
        <v>525</v>
      </c>
    </row>
    <row r="36">
      <c r="A36" s="196" t="s">
        <v>526</v>
      </c>
    </row>
    <row r="37">
      <c r="A37" s="196" t="s">
        <v>527</v>
      </c>
    </row>
    <row r="38">
      <c r="A38" s="196" t="s">
        <v>528</v>
      </c>
    </row>
    <row r="40">
      <c r="A40" s="196" t="s">
        <v>529</v>
      </c>
    </row>
    <row r="41">
      <c r="A41" s="196" t="s">
        <v>530</v>
      </c>
    </row>
    <row r="42">
      <c r="A42" s="196" t="s">
        <v>531</v>
      </c>
    </row>
    <row r="43">
      <c r="A43" s="196" t="s">
        <v>532</v>
      </c>
    </row>
    <row r="45">
      <c r="A45" s="196" t="s">
        <v>533</v>
      </c>
    </row>
    <row r="46">
      <c r="A46" s="196" t="s">
        <v>534</v>
      </c>
    </row>
    <row r="48">
      <c r="A48" s="196" t="s">
        <v>535</v>
      </c>
    </row>
    <row r="50">
      <c r="A50" s="196" t="s">
        <v>536</v>
      </c>
    </row>
    <row r="51">
      <c r="A51" s="196" t="s">
        <v>537</v>
      </c>
    </row>
    <row r="52">
      <c r="A52" s="196" t="s">
        <v>538</v>
      </c>
    </row>
    <row r="53">
      <c r="A53" s="196" t="s">
        <v>539</v>
      </c>
      <c r="M53" s="196" t="s">
        <v>540</v>
      </c>
    </row>
    <row r="54">
      <c r="A54" s="196" t="s">
        <v>541</v>
      </c>
    </row>
    <row r="55">
      <c r="A55" s="196" t="s">
        <v>542</v>
      </c>
    </row>
    <row r="56">
      <c r="A56" s="196" t="s">
        <v>543</v>
      </c>
    </row>
    <row r="57">
      <c r="A57" s="196" t="s">
        <v>544</v>
      </c>
    </row>
    <row r="59">
      <c r="A59" s="196" t="s">
        <v>545</v>
      </c>
    </row>
    <row r="61">
      <c r="A61" s="425" t="s">
        <v>546</v>
      </c>
    </row>
  </sheetData>
  <mergeCells count="1">
    <mergeCell ref="A61:F6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2025-12-08T18:44:09Z</dcterms:created>
  <dc:creator>fernando.xpenergy@gmail.com</dc:creator>
</cp:coreProperties>
</file>